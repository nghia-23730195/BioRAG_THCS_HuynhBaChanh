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28113eec020411a" /></Relationships>
</file>

<file path=xl/workbook.xml><?xml version="1.0" encoding="utf-8"?>
<x:workbook xmlns:x="http://schemas.openxmlformats.org/spreadsheetml/2006/main">
  <x:sheets>
    <x:sheet xmlns:r="http://schemas.openxmlformats.org/officeDocument/2006/relationships" name="Huong dan" sheetId="1" r:id="R4a67610fc7374671"/>
    <x:sheet xmlns:r="http://schemas.openxmlformats.org/officeDocument/2006/relationships" name="Cau hoi" sheetId="2" r:id="Ra9de27f5fcfb4103"/>
    <x:sheet xmlns:r="http://schemas.openxmlformats.org/officeDocument/2006/relationships" name="Tong hop" sheetId="3" r:id="Ra1e39c59c1134207"/>
    <x:sheet xmlns:r="http://schemas.openxmlformats.org/officeDocument/2006/relationships" name="Kiem tra" sheetId="4" r:id="R6934e2b9117d485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6">
    <x:font>
      <x:sz val="11"/>
      <x:name val="Carlito"/>
    </x:font>
    <x:font>
      <x:b/>
      <x:sz val="11"/>
      <x:color rgb="FFFFFFFF"/>
      <x:name val="Carlito"/>
    </x:font>
    <x:font>
      <x:b/>
      <x:sz val="16"/>
      <x:color rgb="FFFFFFFF"/>
      <x:name val="Carlito"/>
    </x:font>
    <x:font>
      <x:b/>
      <x:sz val="15"/>
      <x:color rgb="FFFFFFFF"/>
      <x:name val="Carlito"/>
    </x:font>
    <x:font>
      <x:b/>
      <x:sz val="11"/>
      <x:color rgb="FF134E4A"/>
      <x:name val="Carlito"/>
    </x:font>
    <x:font>
      <x:b/>
      <x:sz val="11"/>
      <x:color rgb="FF334155"/>
      <x:name val="Carlito"/>
    </x:font>
  </x:fonts>
  <x:fills count="6">
    <x:fill>
      <x:patternFill patternType="none"/>
    </x:fill>
    <x:fill>
      <x:patternFill patternType="gray125"/>
    </x:fill>
    <x:fill>
      <x:patternFill patternType="solid">
        <x:fgColor rgb="FF0F766E"/>
      </x:patternFill>
    </x:fill>
    <x:fill>
      <x:patternFill patternType="solid">
        <x:fgColor rgb="FF134E4A"/>
      </x:patternFill>
    </x:fill>
    <x:fill>
      <x:patternFill patternType="solid">
        <x:fgColor rgb="FFCCFBF1"/>
      </x:patternFill>
    </x:fill>
    <x:fill>
      <x:patternFill patternType="solid">
        <x:fgColor rgb="FFE2E8F0"/>
      </x:patternFill>
    </x:fill>
  </x:fills>
  <x:borders count="11">
    <x:border/>
    <x:border>
      <x:bottom style="double">
        <x:color rgb="FF0F766E"/>
      </x:bottom>
    </x:border>
    <x:border>
      <x:right style="thin">
        <x:color rgb="FFD1D5DB"/>
      </x:right>
      <x:bottom style="thin">
        <x:color rgb="FFD1D5DB"/>
      </x:bottom>
    </x:border>
    <x:border>
      <x:left style="thin">
        <x:color rgb="FFD1D5DB"/>
      </x:left>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0" fillId="0" borderId="0" xfId="0" applyNumberFormat="1" applyFont="1" applyFill="1" applyBorder="1"/>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4" borderId="10" xfId="0" applyNumberFormat="1" applyFont="1" applyFill="1" applyBorder="1"/>
    <x:xf numFmtId="200" fontId="0" fillId="0" borderId="6" xfId="0" applyNumberFormat="1" applyFont="1" applyFill="1" applyBorder="1"/>
    <x:xf numFmtId="200" fontId="4" fillId="4" borderId="9" xfId="0" applyNumberFormat="1" applyFont="1" applyFill="1" applyBorder="1"/>
    <x:xf numFmtId="201" fontId="0" fillId="0" borderId="7" xfId="0" applyNumberFormat="1" applyFont="1" applyFill="1" applyBorder="1"/>
    <x:xf numFmtId="201" fontId="4" fillId="4" borderId="1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0" fillId="0" borderId="8" xfId="0" applyNumberFormat="1" applyFont="1" applyFill="1" applyBorder="1"/>
    <x:xf numFmtId="0" fontId="0" fillId="0" borderId="10" xfId="0" applyNumberFormat="1" applyFont="1" applyFill="1" applyBorder="1"/>
  </x:cellXfs>
  <x:cellStyles count="1">
    <x:cellStyle name="Normal" xfId="0"/>
  </x:cellStyles>
  <x:dxfs count="2">
    <x:dxf>
      <x:font>
        <x:b/>
        <x:color rgb="FF92400E"/>
      </x:font>
      <x:fill>
        <x:patternFill patternType="solid">
          <x:bgColor rgb="FFFDE68A"/>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f477b38d394f9b" /><Relationship Type="http://schemas.openxmlformats.org/officeDocument/2006/relationships/theme" Target="/xl/theme/theme1.xml" Id="R3992fea80b614104" /><Relationship Type="http://schemas.openxmlformats.org/officeDocument/2006/relationships/sharedStrings" Target="/xl/sharedStrings.xml" Id="R5f0ac89d6c5148e1" /><Relationship Type="http://schemas.openxmlformats.org/officeDocument/2006/relationships/worksheet" Target="/xl/worksheets/sheet1.xml" Id="R4a67610fc7374671" /><Relationship Type="http://schemas.openxmlformats.org/officeDocument/2006/relationships/worksheet" Target="/xl/worksheets/sheet2.xml" Id="Ra9de27f5fcfb4103" /><Relationship Type="http://schemas.openxmlformats.org/officeDocument/2006/relationships/worksheet" Target="/xl/worksheets/sheet3.xml" Id="Ra1e39c59c1134207" /><Relationship Type="http://schemas.openxmlformats.org/officeDocument/2006/relationships/worksheet" Target="/xl/worksheets/sheet4.xml" Id="R6934e2b9117d4858" /><Relationship Type="http://schemas.microsoft.com/office/2017/10/relationships/person" Target="/xl/persons/person.xml" Id="R7fb05a2d983d45f9" /></Relationships>
</file>

<file path=xl/persons/person.xml><?xml version="1.0" encoding="utf-8"?>
<xltc:personList xmlns:xltc="http://schemas.microsoft.com/office/spreadsheetml/2018/threadedcomments">
  <xltc:person displayName="Nghĩa Nguyễn" id="{D7750417-18BC-4A29-BF28-ECDC821056AB}"/>
</xltc:personList>
</file>

<file path=xl/tables/table1.xml><?xml version="1.0" encoding="utf-8"?>
<x:table xmlns:x="http://schemas.openxmlformats.org/spreadsheetml/2006/main" id="1" name="QuestionTable" displayName="QuestionTable" ref="A1:M259" headerRowCount="1" totalsRowCount="0" totalsRowShown="0">
  <x:tableColumns count="13">
    <x:tableColumn id="1" name="Mã câu"/>
    <x:tableColumn id="2" name="Câu hỏi"/>
    <x:tableColumn id="3" name="Đáp án chuẩn"/>
    <x:tableColumn id="4" name="Sách nguồn"/>
    <x:tableColumn id="5" name="Trang nguồn"/>
    <x:tableColumn id="6" name="Phân môn"/>
    <x:tableColumn id="7" name="Độ khó gốc"/>
    <x:tableColumn id="8" name="Nguồn câu hỏi"/>
    <x:tableColumn id="9" name="Nhóm câu hỏi"/>
    <x:tableColumn id="10" name="File testset"/>
    <x:tableColumn id="11" name="Lý do phân loại"/>
    <x:tableColumn id="12" name="Trạng thái xác nhận"/>
    <x:tableColumn id="13" name="Lý do ngoài phạm v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bd41ffc7914cc6"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66" hidden="0" customWidth="1"/>
    <x:col min="3" max="3" width="48" hidden="0" customWidth="1"/>
  </x:cols>
  <x:sheetData>
    <x:row r="1" ht="30" customHeight="1">
      <x:c r="A1" s="13" t="str">
        <x:v>BỘ CÂU HỎI KIỂM THỬ RAG KHTN/SINH HỌC</x:v>
      </x:c>
      <x:c r="B1" s="13"/>
      <x:c r="C1" s="13"/>
      <x:c r="D1" s="13"/>
      <x:c r="E1" s="13"/>
      <x:c r="F1" s="13"/>
    </x:row>
    <x:row r="3">
      <x:c r="A3" s="15" t="str">
        <x:v>Mục</x:v>
      </x:c>
      <x:c r="B3" s="15" t="str">
        <x:v>Nội dung</x:v>
      </x:c>
    </x:row>
    <x:row r="4">
      <x:c r="A4" s="9" t="str">
        <x:v>Dữ liệu gốc</x:v>
      </x:c>
      <x:c r="B4" s="9" t="str">
        <x:v>238 câu từ 12 testset SGK KHTN 6-9.</x:v>
      </x:c>
    </x:row>
    <x:row r="5">
      <x:c r="A5" s="9" t="str">
        <x:v>Bổ sung</x:v>
      </x:c>
      <x:c r="B5" s="9" t="str">
        <x:v>20 câu ngoài phạm vi, nâng tổng số lên 258 câu.</x:v>
      </x:c>
    </x:row>
    <x:row r="6">
      <x:c r="A6" s="9" t="str">
        <x:v>Nguyên tắc</x:v>
      </x:c>
      <x:c r="B6" s="9" t="str">
        <x:v>Phân loại theo yêu cầu nhận thức của câu hỏi; không quy đổi máy móc từ truc_tiep/suy_luan.</x:v>
      </x:c>
    </x:row>
    <x:row r="7">
      <x:c r="A7" s="9" t="str">
        <x:v>Xác nhận</x:v>
      </x:c>
      <x:c r="B7" s="9" t="str">
        <x:v>Mọi phân loại và câu ngoài phạm vi là bản dự thảo, cần giáo viên KHTN/Sinh học kiểm tra trước khi dùng trong báo cáo.</x:v>
      </x:c>
    </x:row>
    <x:row r="8">
      <x:c r="A8" s="9" t="str">
        <x:v>Cách chỉnh</x:v>
      </x:c>
      <x:c r="B8" s="9" t="str">
        <x:v>Sửa cột Nhóm câu hỏi trong sheet Cau hoi; bảng Tong hop tự cập nhật bằng công thức.</x:v>
      </x:c>
    </x:row>
    <x:row r="10">
      <x:c r="A10" s="16" t="str">
        <x:v>Nhóm</x:v>
      </x:c>
      <x:c r="B10" s="16" t="str">
        <x:v>Tiêu chí</x:v>
      </x:c>
      <x:c r="C10" s="16" t="str">
        <x:v>Ví dụ yêu cầu</x:v>
      </x:c>
    </x:row>
    <x:row r="11">
      <x:c r="A11" s="6" t="str">
        <x:v>Nhận biết</x:v>
      </x:c>
      <x:c r="B11" s="6" t="str">
        <x:v>Nhớ, nêu, kể tên, xác định thông tin trực tiếp.</x:v>
      </x:c>
      <x:c r="C11" s="6" t="str">
        <x:v>Nêu, kể tên, bao nhiêu, là gì.</x:v>
      </x:c>
    </x:row>
    <x:row r="12">
      <x:c r="A12" s="6" t="str">
        <x:v>Thông hiểu</x:v>
      </x:c>
      <x:c r="B12" s="6" t="str">
        <x:v>Mô tả, giải thích, so sánh, diễn giải ý nghĩa.</x:v>
      </x:c>
      <x:c r="C12" s="6" t="str">
        <x:v>Vì sao, so sánh, mô tả mối quan hệ.</x:v>
      </x:c>
    </x:row>
    <x:row r="13">
      <x:c r="A13" s="6" t="str">
        <x:v>Vận dụng</x:v>
      </x:c>
      <x:c r="B13" s="6" t="str">
        <x:v>Áp dụng quy tắc/kiến thức vào tình huống, tính toán hoặc suy luận.</x:v>
      </x:c>
      <x:c r="C13" s="6" t="str">
        <x:v>Tính, lựa chọn, dự đoán, viết phương trình cho trường hợp mới.</x:v>
      </x:c>
    </x:row>
    <x:row r="14">
      <x:c r="A14" s="6" t="str">
        <x:v>Ngoài phạm vi</x:v>
      </x:c>
      <x:c r="B14" s="6" t="str">
        <x:v>Không có đủ bằng chứng trả lời trong kho SGK đang đánh giá.</x:v>
      </x:c>
      <x:c r="C14" s="6" t="str">
        <x:v>Chủ đề chuyên sâu vượt chương trình SGK KHTN 6-9.</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48" hidden="0" customWidth="1"/>
    <x:col min="3" max="3" width="48" hidden="0" customWidth="1"/>
    <x:col min="4" max="4" width="22" hidden="0" customWidth="1"/>
    <x:col min="5" max="5" width="11" hidden="0" customWidth="1"/>
    <x:col min="6" max="6" width="18" hidden="0" customWidth="1"/>
    <x:col min="7" max="7" width="18" hidden="0" customWidth="1"/>
    <x:col min="8" max="8" width="18" hidden="0" customWidth="1"/>
    <x:col min="9" max="9" width="18" hidden="0" customWidth="1"/>
    <x:col min="10" max="10" width="28" hidden="0" customWidth="1"/>
    <x:col min="11" max="11" width="42" hidden="0" customWidth="1"/>
    <x:col min="12" max="12" width="27" hidden="0" customWidth="1"/>
    <x:col min="13" max="13" width="40" hidden="0" customWidth="1"/>
  </x:cols>
  <x:sheetData>
    <x:row r="1">
      <x:c r="A1" s="7" t="str">
        <x:v>Mã câu</x:v>
      </x:c>
      <x:c r="B1" s="7" t="str">
        <x:v>Câu hỏi</x:v>
      </x:c>
      <x:c r="C1" s="7" t="str">
        <x:v>Đáp án chuẩn</x:v>
      </x:c>
      <x:c r="D1" s="7" t="str">
        <x:v>Sách nguồn</x:v>
      </x:c>
      <x:c r="E1" s="7" t="str">
        <x:v>Trang nguồn</x:v>
      </x:c>
      <x:c r="F1" s="7" t="str">
        <x:v>Phân môn</x:v>
      </x:c>
      <x:c r="G1" s="7" t="str">
        <x:v>Độ khó gốc</x:v>
      </x:c>
      <x:c r="H1" s="7" t="str">
        <x:v>Nguồn câu hỏi</x:v>
      </x:c>
      <x:c r="I1" s="7" t="str">
        <x:v>Nhóm câu hỏi</x:v>
      </x:c>
      <x:c r="J1" s="7" t="str">
        <x:v>File testset</x:v>
      </x:c>
      <x:c r="K1" s="7" t="str">
        <x:v>Lý do phân loại</x:v>
      </x:c>
      <x:c r="L1" s="7" t="str">
        <x:v>Trạng thái xác nhận</x:v>
      </x:c>
      <x:c r="M1" s="7" t="str">
        <x:v>Lý do ngoài phạm vi</x:v>
      </x:c>
    </x:row>
    <x:row r="2">
      <x:c r="A2" s="8" t="n">
        <x:v>1</x:v>
      </x:c>
      <x:c r="B2" s="9" t="str">
        <x:v>Hãy nêu tính chất vật lí của khí oxygen.</x:v>
      </x:c>
      <x:c r="C2" s="9" t="str">
        <x:v>Oxygen là chất khí không màu, không mùi, không vị và ít tan trong nước.</x:v>
      </x:c>
      <x:c r="D2" s="10" t="str">
        <x:v>SGK_KHTN_6_CD</x:v>
      </x:c>
      <x:c r="E2" s="8" t="n">
        <x:v>37</x:v>
      </x:c>
      <x:c r="F2" s="10" t="str">
        <x:v>hoa</x:v>
      </x:c>
      <x:c r="G2" s="10" t="str">
        <x:v>truc_tiep</x:v>
      </x:c>
      <x:c r="H2" s="10" t="str">
        <x:v>van_ban</x:v>
      </x:c>
      <x:c r="I2" s="10" t="str">
        <x:v>Nhận biết</x:v>
      </x:c>
      <x:c r="J2" s="10" t="str">
        <x:v>SGK_KHTN_6_CD_testset.csv</x:v>
      </x:c>
      <x:c r="K2" s="9" t="str">
        <x:v>Yêu cầu nhớ, nêu, kể tên, nhận diện hoặc lấy lại thông tin trực tiếp.</x:v>
      </x:c>
      <x:c r="L2" s="9" t="str">
        <x:v>Cần giáo viên xác nhận</x:v>
      </x:c>
      <x:c r="M2" s="9" t="str"/>
    </x:row>
    <x:row r="3">
      <x:c r="A3" s="8" t="n">
        <x:v>2</x:v>
      </x:c>
      <x:c r="B3" s="9" t="str">
        <x:v>Trong thí nghiệm đo thể tích nước bốc hơi, vì sao phải đổ nước vào cả hai ống đong với mức nước bằng nhau và để cả hai ngoài ánh sáng trong cùng điều kiện môi trường?</x:v>
      </x:c>
      <x:c r="C3" s="9" t="str">
        <x:v>Để hai ống đong chỉ khác nhau ở việc có cắm cành cây tươi (ống a) hay không (ống b); nhờ vậy khi so sánh lượng nước còn lại sau một ngày mới biết được lượng nước thay đổi do cành cây tươi gây ra.</x:v>
      </x:c>
      <x:c r="D3" s="10" t="str">
        <x:v>SGK_KHTN_6_CD</x:v>
      </x:c>
      <x:c r="E3" s="8" t="n">
        <x:v>14</x:v>
      </x:c>
      <x:c r="F3" s="10" t="str">
        <x:v>khac</x:v>
      </x:c>
      <x:c r="G3" s="10" t="str">
        <x:v>suy_luan</x:v>
      </x:c>
      <x:c r="H3" s="10" t="str">
        <x:v>van_ban</x:v>
      </x:c>
      <x:c r="I3" s="10" t="str">
        <x:v>Thông hiểu</x:v>
      </x:c>
      <x:c r="J3" s="10" t="str">
        <x:v>SGK_KHTN_6_CD_testset.csv</x:v>
      </x:c>
      <x:c r="K3" s="9" t="str">
        <x:v>Yêu cầu mô tả, giải thích, so sánh hoặc diễn giải ý nghĩa/mối quan hệ.</x:v>
      </x:c>
      <x:c r="L3" s="9" t="str">
        <x:v>Cần giáo viên xác nhận</x:v>
      </x:c>
      <x:c r="M3" s="9" t="str"/>
    </x:row>
    <x:row r="4">
      <x:c r="A4" s="8" t="n">
        <x:v>3</x:v>
      </x:c>
      <x:c r="B4" s="9" t="str">
        <x:v>Hình ảnh bánh mì bị mốc và quả dâu tây bị hỏng cho thấy đặc điểm gì của lương thực - thực phẩm? Từ đó rút ra kết luận gì về việc bảo quản chúng?</x:v>
      </x:c>
      <x:c r="C4" s="9" t="str">
        <x:v>Lương thực - thực phẩm dễ bị hỏng nên cần có phương pháp bảo quản thích hợp.</x:v>
      </x:c>
      <x:c r="D4" s="10" t="str">
        <x:v>SGK_KHTN_6_CD</x:v>
      </x:c>
      <x:c r="E4" s="8" t="n">
        <x:v>54</x:v>
      </x:c>
      <x:c r="F4" s="10" t="str">
        <x:v>sinh</x:v>
      </x:c>
      <x:c r="G4" s="10" t="str">
        <x:v>suy_luan</x:v>
      </x:c>
      <x:c r="H4" s="10" t="str">
        <x:v>van_ban</x:v>
      </x:c>
      <x:c r="I4" s="10" t="str">
        <x:v>Thông hiểu</x:v>
      </x:c>
      <x:c r="J4" s="10" t="str">
        <x:v>SGK_KHTN_6_CD_testset.csv</x:v>
      </x:c>
      <x:c r="K4" s="9" t="str">
        <x:v>Yêu cầu mô tả, giải thích, so sánh hoặc diễn giải ý nghĩa/mối quan hệ.</x:v>
      </x:c>
      <x:c r="L4" s="9" t="str">
        <x:v>Cần giáo viên xác nhận</x:v>
      </x:c>
      <x:c r="M4" s="9" t="str"/>
    </x:row>
    <x:row r="5">
      <x:c r="A5" s="8" t="n">
        <x:v>4</x:v>
      </x:c>
      <x:c r="B5" s="9" t="str">
        <x:v>Trong cấu tạo của tế bào, hãy kể tên ba thành phần chính được nêu trong mục tiêu bài học về tế bào?</x:v>
      </x:c>
      <x:c r="C5" s="9" t="str">
        <x:v>Ba thành phần chính là màng tế bào, tế bào chất và nhân tế bào.</x:v>
      </x:c>
      <x:c r="D5" s="10" t="str">
        <x:v>SGK_KHTN_6_CD</x:v>
      </x:c>
      <x:c r="E5" s="8" t="n">
        <x:v>66</x:v>
      </x:c>
      <x:c r="F5" s="10" t="str">
        <x:v>sinh</x:v>
      </x:c>
      <x:c r="G5" s="10" t="str">
        <x:v>truc_tiep</x:v>
      </x:c>
      <x:c r="H5" s="10" t="str">
        <x:v>van_ban</x:v>
      </x:c>
      <x:c r="I5" s="10" t="str">
        <x:v>Nhận biết</x:v>
      </x:c>
      <x:c r="J5" s="10" t="str">
        <x:v>SGK_KHTN_6_CD_testset.csv</x:v>
      </x:c>
      <x:c r="K5" s="9" t="str">
        <x:v>Yêu cầu nhớ, nêu, kể tên, nhận diện hoặc lấy lại thông tin trực tiếp.</x:v>
      </x:c>
      <x:c r="L5" s="9" t="str">
        <x:v>Cần giáo viên xác nhận</x:v>
      </x:c>
      <x:c r="M5" s="9" t="str"/>
    </x:row>
    <x:row r="6">
      <x:c r="A6" s="8" t="n">
        <x:v>5</x:v>
      </x:c>
      <x:c r="B6" s="9" t="str">
        <x:v>Theo kiến thức về các dạng năng lượng, một vật chuyển động càng nhanh thì động năng của vật thay đổi như thế nào?</x:v>
      </x:c>
      <x:c r="C6" s="9" t="str">
        <x:v>Vật chuyển động càng nhanh thì động năng của vật càng lớn (và ngược lại).</x:v>
      </x:c>
      <x:c r="D6" s="10" t="str">
        <x:v>SGK_KHTN_6_CD</x:v>
      </x:c>
      <x:c r="E6" s="8" t="n">
        <x:v>153</x:v>
      </x:c>
      <x:c r="F6" s="10" t="str">
        <x:v>ly</x:v>
      </x:c>
      <x:c r="G6" s="10" t="str">
        <x:v>truc_tiep</x:v>
      </x:c>
      <x:c r="H6" s="10" t="str">
        <x:v>van_ban</x:v>
      </x:c>
      <x:c r="I6" s="10" t="str">
        <x:v>Thông hiểu</x:v>
      </x:c>
      <x:c r="J6" s="10" t="str">
        <x:v>SGK_KHTN_6_CD_testset.csv</x:v>
      </x:c>
      <x:c r="K6" s="9" t="str">
        <x:v>Yêu cầu mô tả, giải thích, so sánh hoặc diễn giải ý nghĩa/mối quan hệ.</x:v>
      </x:c>
      <x:c r="L6" s="9" t="str">
        <x:v>Cần giáo viên xác nhận</x:v>
      </x:c>
      <x:c r="M6" s="9" t="str"/>
    </x:row>
    <x:row r="7">
      <x:c r="A7" s="8" t="n">
        <x:v>6</x:v>
      </x:c>
      <x:c r="B7" s="9" t="str">
        <x:v>Nêu đặc điểm về chân của động vật thuộc ngành Chân khớp theo sách giáo khoa Khoa học tự nhiên 6.</x:v>
      </x:c>
      <x:c r="C7" s="9" t="str">
        <x:v>Các chân phân đốt, có khớp động</x:v>
      </x:c>
      <x:c r="D7" s="10" t="str">
        <x:v>SGK_KHTN_6_CD</x:v>
      </x:c>
      <x:c r="E7" s="8" t="n">
        <x:v>123</x:v>
      </x:c>
      <x:c r="F7" s="10" t="str">
        <x:v>sinh</x:v>
      </x:c>
      <x:c r="G7" s="10" t="str">
        <x:v>truc_tiep</x:v>
      </x:c>
      <x:c r="H7" s="10" t="str">
        <x:v>van_ban</x:v>
      </x:c>
      <x:c r="I7" s="10" t="str">
        <x:v>Nhận biết</x:v>
      </x:c>
      <x:c r="J7" s="10" t="str">
        <x:v>SGK_KHTN_6_CD_testset.csv</x:v>
      </x:c>
      <x:c r="K7" s="9" t="str">
        <x:v>Yêu cầu nhớ, nêu, kể tên, nhận diện hoặc lấy lại thông tin trực tiếp.</x:v>
      </x:c>
      <x:c r="L7" s="9" t="str">
        <x:v>Cần giáo viên xác nhận</x:v>
      </x:c>
      <x:c r="M7" s="9" t="str"/>
    </x:row>
    <x:row r="8">
      <x:c r="A8" s="8" t="n">
        <x:v>7</x:v>
      </x:c>
      <x:c r="B8" s="9" t="str">
        <x:v>Trong không khí, oxygen chiếm khoảng bao nhiêu về thể tích?</x:v>
      </x:c>
      <x:c r="C8" s="9" t="str">
        <x:v>Khoảng 1/5 về thể tích.</x:v>
      </x:c>
      <x:c r="D8" s="10" t="str">
        <x:v>SGK_KHTN_6_CD</x:v>
      </x:c>
      <x:c r="E8" s="8" t="n">
        <x:v>43</x:v>
      </x:c>
      <x:c r="F8" s="10" t="str">
        <x:v>khac</x:v>
      </x:c>
      <x:c r="G8" s="10" t="str">
        <x:v>truc_tiep</x:v>
      </x:c>
      <x:c r="H8" s="10" t="str">
        <x:v>van_ban</x:v>
      </x:c>
      <x:c r="I8" s="10" t="str">
        <x:v>Nhận biết</x:v>
      </x:c>
      <x:c r="J8" s="10" t="str">
        <x:v>SGK_KHTN_6_CD_testset.csv</x:v>
      </x:c>
      <x:c r="K8" s="9" t="str">
        <x:v>Yêu cầu nhớ, nêu, kể tên, nhận diện hoặc lấy lại thông tin trực tiếp.</x:v>
      </x:c>
      <x:c r="L8" s="9" t="str">
        <x:v>Cần giáo viên xác nhận</x:v>
      </x:c>
      <x:c r="M8" s="9" t="str"/>
    </x:row>
    <x:row r="9">
      <x:c r="A9" s="8" t="n">
        <x:v>8</x:v>
      </x:c>
      <x:c r="B9" s="9" t="str">
        <x:v>Trong phòng thực hành khoa học tự nhiên, nếu không cẩn thận, học sinh dễ gặp phải tình huống nguy hiểm nhất là khi sử dụng những gì?</x:v>
      </x:c>
      <x:c r="C9" s="9" t="str">
        <x:v>Khi sử dụng lửa và các hoá chất.</x:v>
      </x:c>
      <x:c r="D9" s="10" t="str">
        <x:v>SGK_KHTN_6_CD</x:v>
      </x:c>
      <x:c r="E9" s="8" t="n">
        <x:v>16</x:v>
      </x:c>
      <x:c r="F9" s="10" t="str">
        <x:v>khac</x:v>
      </x:c>
      <x:c r="G9" s="10" t="str">
        <x:v>truc_tiep</x:v>
      </x:c>
      <x:c r="H9" s="10" t="str">
        <x:v>van_ban</x:v>
      </x:c>
      <x:c r="I9" s="10" t="str">
        <x:v>Nhận biết</x:v>
      </x:c>
      <x:c r="J9" s="10" t="str">
        <x:v>SGK_KHTN_6_CD_testset.csv</x:v>
      </x:c>
      <x:c r="K9" s="9" t="str">
        <x:v>Yêu cầu nhớ, nêu, kể tên, nhận diện hoặc lấy lại thông tin trực tiếp.</x:v>
      </x:c>
      <x:c r="L9" s="9" t="str">
        <x:v>Cần giáo viên xác nhận</x:v>
      </x:c>
      <x:c r="M9" s="9" t="str"/>
    </x:row>
    <x:row r="10">
      <x:c r="A10" s="8" t="n">
        <x:v>9</x:v>
      </x:c>
      <x:c r="B10" s="9" t="str">
        <x:v>Dựa vào tính chất vật lí nào của cát mà người ta có thể dùng cách lọc để tách cát ra khỏi hỗn hợp cát với nước?</x:v>
      </x:c>
      <x:c r="C10" s="9" t="str">
        <x:v>Cát là chất rắn không tan trong nước (không tan trong chất lỏng).</x:v>
      </x:c>
      <x:c r="D10" s="10" t="str">
        <x:v>SGK_KHTN_6_CD</x:v>
      </x:c>
      <x:c r="E10" s="8" t="n">
        <x:v>62</x:v>
      </x:c>
      <x:c r="F10" s="10" t="str">
        <x:v>hoa</x:v>
      </x:c>
      <x:c r="G10" s="10" t="str">
        <x:v>suy_luan</x:v>
      </x:c>
      <x:c r="H10" s="10" t="str">
        <x:v>van_ban</x:v>
      </x:c>
      <x:c r="I10" s="10" t="str">
        <x:v>Vận dụng</x:v>
      </x:c>
      <x:c r="J10" s="10" t="str">
        <x:v>SGK_KHTN_6_CD_testset.csv</x:v>
      </x:c>
      <x:c r="K10" s="9" t="str">
        <x:v>Yêu cầu áp dụng kiến thức, quy tắc hoặc phép tính vào tình huống/suy luận cụ thể.</x:v>
      </x:c>
      <x:c r="L10" s="9" t="str">
        <x:v>Cần giáo viên xác nhận</x:v>
      </x:c>
      <x:c r="M10" s="9" t="str"/>
    </x:row>
    <x:row r="11">
      <x:c r="A11" s="8" t="n">
        <x:v>10</x:v>
      </x:c>
      <x:c r="B11" s="9" t="str">
        <x:v>Oxygen là thành phần quan trọng nhất đối với hoạt động nào của con người, động vật và thực vật?</x:v>
      </x:c>
      <x:c r="C11" s="9" t="str">
        <x:v>Hoạt động hô hấp.</x:v>
      </x:c>
      <x:c r="D11" s="10" t="str">
        <x:v>SGK_KHTN_6_CD</x:v>
      </x:c>
      <x:c r="E11" s="8" t="n">
        <x:v>37</x:v>
      </x:c>
      <x:c r="F11" s="10" t="str">
        <x:v>hoa</x:v>
      </x:c>
      <x:c r="G11" s="10" t="str">
        <x:v>truc_tiep</x:v>
      </x:c>
      <x:c r="H11" s="10" t="str">
        <x:v>van_ban</x:v>
      </x:c>
      <x:c r="I11" s="10" t="str">
        <x:v>Nhận biết</x:v>
      </x:c>
      <x:c r="J11" s="10" t="str">
        <x:v>SGK_KHTN_6_CD_testset.csv</x:v>
      </x:c>
      <x:c r="K11" s="9" t="str">
        <x:v>Yêu cầu nhớ, nêu, kể tên, nhận diện hoặc lấy lại thông tin trực tiếp.</x:v>
      </x:c>
      <x:c r="L11" s="9" t="str">
        <x:v>Cần giáo viên xác nhận</x:v>
      </x:c>
      <x:c r="M11" s="9" t="str"/>
    </x:row>
    <x:row r="12">
      <x:c r="A12" s="8" t="n">
        <x:v>11</x:v>
      </x:c>
      <x:c r="B12" s="9" t="str">
        <x:v>Kính lúp và kính hiển vi là những dụng cụ dùng để làm gì trong nghiên cứu khoa học tự nhiên?</x:v>
      </x:c>
      <x:c r="C12" s="9" t="str">
        <x:v>Dùng để quan sát những vật có kích thước nhỏ.</x:v>
      </x:c>
      <x:c r="D12" s="10" t="str">
        <x:v>SGK_KHTN_6_CD</x:v>
      </x:c>
      <x:c r="E12" s="8" t="n">
        <x:v>14</x:v>
      </x:c>
      <x:c r="F12" s="10" t="str">
        <x:v>khac</x:v>
      </x:c>
      <x:c r="G12" s="10" t="str">
        <x:v>truc_tiep</x:v>
      </x:c>
      <x:c r="H12" s="10" t="str">
        <x:v>van_ban</x:v>
      </x:c>
      <x:c r="I12" s="10" t="str">
        <x:v>Nhận biết</x:v>
      </x:c>
      <x:c r="J12" s="10" t="str">
        <x:v>SGK_KHTN_6_CD_testset.csv</x:v>
      </x:c>
      <x:c r="K12" s="9" t="str">
        <x:v>Yêu cầu nhớ, nêu, kể tên, nhận diện hoặc lấy lại thông tin trực tiếp.</x:v>
      </x:c>
      <x:c r="L12" s="9" t="str">
        <x:v>Cần giáo viên xác nhận</x:v>
      </x:c>
      <x:c r="M12" s="9" t="str"/>
    </x:row>
    <x:row r="13">
      <x:c r="A13" s="8" t="n">
        <x:v>12</x:v>
      </x:c>
      <x:c r="B13" s="9" t="str">
        <x:v>Nêu một số cách bảo quản lương thực - thực phẩm thông thường được trình bày trong sách giáo khoa Khoa học tự nhiên 6?</x:v>
      </x:c>
      <x:c r="C13" s="9" t="str">
        <x:v>Đông lạnh, hút chân không, hun khói, sấy khô, sử dụng muối hoặc đường.</x:v>
      </x:c>
      <x:c r="D13" s="10" t="str">
        <x:v>SGK_KHTN_6_CD</x:v>
      </x:c>
      <x:c r="E13" s="8" t="n">
        <x:v>54</x:v>
      </x:c>
      <x:c r="F13" s="10" t="str">
        <x:v>sinh</x:v>
      </x:c>
      <x:c r="G13" s="10" t="str">
        <x:v>truc_tiep</x:v>
      </x:c>
      <x:c r="H13" s="10" t="str">
        <x:v>van_ban</x:v>
      </x:c>
      <x:c r="I13" s="10" t="str">
        <x:v>Nhận biết</x:v>
      </x:c>
      <x:c r="J13" s="10" t="str">
        <x:v>SGK_KHTN_6_CD_testset.csv</x:v>
      </x:c>
      <x:c r="K13" s="9" t="str">
        <x:v>Yêu cầu nhớ, nêu, kể tên, nhận diện hoặc lấy lại thông tin trực tiếp.</x:v>
      </x:c>
      <x:c r="L13" s="9" t="str">
        <x:v>Cần giáo viên xác nhận</x:v>
      </x:c>
      <x:c r="M13" s="9" t="str"/>
    </x:row>
    <x:row r="14">
      <x:c r="A14" s="8" t="n">
        <x:v>13</x:v>
      </x:c>
      <x:c r="B14" s="9" t="str">
        <x:v>Các nhà máy điện và pin là những nguồn cung cấp dạng năng lượng nào?</x:v>
      </x:c>
      <x:c r="C14" s="9" t="str">
        <x:v>Năng lượng điện.</x:v>
      </x:c>
      <x:c r="D14" s="10" t="str">
        <x:v>SGK_KHTN_6_CD</x:v>
      </x:c>
      <x:c r="E14" s="8" t="n">
        <x:v>153</x:v>
      </x:c>
      <x:c r="F14" s="10" t="str">
        <x:v>ly</x:v>
      </x:c>
      <x:c r="G14" s="10" t="str">
        <x:v>truc_tiep</x:v>
      </x:c>
      <x:c r="H14" s="10" t="str">
        <x:v>van_ban</x:v>
      </x:c>
      <x:c r="I14" s="10" t="str">
        <x:v>Nhận biết</x:v>
      </x:c>
      <x:c r="J14" s="10" t="str">
        <x:v>SGK_KHTN_6_CD_testset.csv</x:v>
      </x:c>
      <x:c r="K14" s="9" t="str">
        <x:v>Yêu cầu nhớ, nêu, kể tên, nhận diện hoặc lấy lại thông tin trực tiếp.</x:v>
      </x:c>
      <x:c r="L14" s="9" t="str">
        <x:v>Cần giáo viên xác nhận</x:v>
      </x:c>
      <x:c r="M14" s="9" t="str"/>
    </x:row>
    <x:row r="15">
      <x:c r="A15" s="8" t="n">
        <x:v>14</x:v>
      </x:c>
      <x:c r="B15" s="9" t="str">
        <x:v>Bộ xương ngoài của động vật thuộc ngành Chân khớp được cấu tạo từ chất gì?</x:v>
      </x:c>
      <x:c r="C15" s="9" t="str">
        <x:v>Chất kitin</x:v>
      </x:c>
      <x:c r="D15" s="10" t="str">
        <x:v>SGK_KHTN_6_CD</x:v>
      </x:c>
      <x:c r="E15" s="8" t="n">
        <x:v>123</x:v>
      </x:c>
      <x:c r="F15" s="10" t="str">
        <x:v>sinh</x:v>
      </x:c>
      <x:c r="G15" s="10" t="str">
        <x:v>truc_tiep</x:v>
      </x:c>
      <x:c r="H15" s="10" t="str">
        <x:v>van_ban</x:v>
      </x:c>
      <x:c r="I15" s="10" t="str">
        <x:v>Nhận biết</x:v>
      </x:c>
      <x:c r="J15" s="10" t="str">
        <x:v>SGK_KHTN_6_CD_testset.csv</x:v>
      </x:c>
      <x:c r="K15" s="9" t="str">
        <x:v>Yêu cầu nhớ, nêu, kể tên, nhận diện hoặc lấy lại thông tin trực tiếp.</x:v>
      </x:c>
      <x:c r="L15" s="9" t="str">
        <x:v>Cần giáo viên xác nhận</x:v>
      </x:c>
      <x:c r="M15" s="9" t="str"/>
    </x:row>
    <x:row r="16">
      <x:c r="A16" s="8" t="n">
        <x:v>15</x:v>
      </x:c>
      <x:c r="B16" s="9" t="str">
        <x:v>Trong các phát biểu sau: (a) Nước sôi ở 100 °C; (b) Xăng cháy trong động cơ xe máy; (c) Lưu huỳnh là chất rắn, có màu vàng — phát biểu nào mô tả tính chất hoá học?</x:v>
      </x:c>
      <x:c r="C16" s="9" t="str">
        <x:v>Phát biểu (b) Xăng cháy trong động cơ xe máy.</x:v>
      </x:c>
      <x:c r="D16" s="10" t="str">
        <x:v>SGK_KHTN_6_CD</x:v>
      </x:c>
      <x:c r="E16" s="8" t="n">
        <x:v>43</x:v>
      </x:c>
      <x:c r="F16" s="10" t="str">
        <x:v>khac</x:v>
      </x:c>
      <x:c r="G16" s="10" t="str">
        <x:v>suy_luan</x:v>
      </x:c>
      <x:c r="H16" s="10" t="str">
        <x:v>van_ban</x:v>
      </x:c>
      <x:c r="I16" s="10" t="str">
        <x:v>Vận dụng</x:v>
      </x:c>
      <x:c r="J16" s="10" t="str">
        <x:v>SGK_KHTN_6_CD_testset.csv</x:v>
      </x:c>
      <x:c r="K16" s="9" t="str">
        <x:v>Yêu cầu áp dụng kiến thức, quy tắc hoặc phép tính vào tình huống/suy luận cụ thể.</x:v>
      </x:c>
      <x:c r="L16" s="9" t="str">
        <x:v>Cần giáo viên xác nhận</x:v>
      </x:c>
      <x:c r="M16" s="9" t="str"/>
    </x:row>
    <x:row r="17">
      <x:c r="A17" s="8" t="n">
        <x:v>16</x:v>
      </x:c>
      <x:c r="B17" s="9" t="str">
        <x:v>Trong hoạt động học tập, cần dùng loại kính nào để quan sát tiêu bản thực vật hoặc động vật (mẫu mô lá cây hoặc mô động vật)?</x:v>
      </x:c>
      <x:c r="C17" s="9" t="str">
        <x:v>Kính hiển vi quang học.</x:v>
      </x:c>
      <x:c r="D17" s="10" t="str">
        <x:v>SGK_KHTN_6_CD</x:v>
      </x:c>
      <x:c r="E17" s="8" t="n">
        <x:v>16</x:v>
      </x:c>
      <x:c r="F17" s="10" t="str">
        <x:v>khac</x:v>
      </x:c>
      <x:c r="G17" s="10" t="str">
        <x:v>truc_tiep</x:v>
      </x:c>
      <x:c r="H17" s="10" t="str">
        <x:v>van_ban</x:v>
      </x:c>
      <x:c r="I17" s="10" t="str">
        <x:v>Nhận biết</x:v>
      </x:c>
      <x:c r="J17" s="10" t="str">
        <x:v>SGK_KHTN_6_CD_testset.csv</x:v>
      </x:c>
      <x:c r="K17" s="9" t="str">
        <x:v>Yêu cầu nhớ, nêu, kể tên, nhận diện hoặc lấy lại thông tin trực tiếp.</x:v>
      </x:c>
      <x:c r="L17" s="9" t="str">
        <x:v>Cần giáo viên xác nhận</x:v>
      </x:c>
      <x:c r="M17" s="9" t="str"/>
    </x:row>
    <x:row r="18">
      <x:c r="A18" s="8" t="n">
        <x:v>17</x:v>
      </x:c>
      <x:c r="B18" s="9" t="str">
        <x:v>Quan sát Hình 1.4, hãy nêu tên hai vật sống và hai vật không sống được vẽ trong hình.</x:v>
      </x:c>
      <x:c r="C18" s="9" t="str">
        <x:v>Học sinh ghi đúng tên các vật sống và vật không sống xuất hiện trong Hình 1.4 (ví dụ: vật sống như cây, con vật; vật không sống như đá, nước... tùy theo nội dung thực tế của hình).</x:v>
      </x:c>
      <x:c r="D18" s="10" t="str">
        <x:v>SGK_KHTN_6_CD</x:v>
      </x:c>
      <x:c r="E18" s="8" t="n">
        <x:v>9</x:v>
      </x:c>
      <x:c r="F18" s="10" t="str"/>
      <x:c r="G18" s="10" t="str">
        <x:v>truc_tiep</x:v>
      </x:c>
      <x:c r="H18" s="10" t="str">
        <x:v>hinh</x:v>
      </x:c>
      <x:c r="I18" s="10" t="str">
        <x:v>Nhận biết</x:v>
      </x:c>
      <x:c r="J18" s="10" t="str">
        <x:v>SGK_KHTN_6_CD_testset.csv</x:v>
      </x:c>
      <x:c r="K18" s="9" t="str">
        <x:v>Yêu cầu nhớ, nêu, kể tên, nhận diện hoặc lấy lại thông tin trực tiếp.</x:v>
      </x:c>
      <x:c r="L18" s="9" t="str">
        <x:v>Cần giáo viên xác nhận</x:v>
      </x:c>
      <x:c r="M18" s="9" t="str"/>
    </x:row>
    <x:row r="19">
      <x:c r="A19" s="8" t="n">
        <x:v>18</x:v>
      </x:c>
      <x:c r="B19" s="9" t="str">
        <x:v>Quan sát Hình 1.1, hãy cho biết những hoạt động nào được minh họa trong hình là hoạt động nghiên cứu khoa học tự nhiên?</x:v>
      </x:c>
      <x:c r="C19" s="9" t="str">
        <x:v>Các hoạt động: tìm hiểu vi khuẩn bằng kính hiển vi, tìm hiểu vũ trụ, tìm kiếm và thăm dò dầu khí ở vùng biển Việt Nam, lai tạo giống cây trồng mới là hoạt động nghiên cứu khoa học tự nhiên; còn tập thể dục và vận chuyển xăng, dầu thì không phải.</x:v>
      </x:c>
      <x:c r="D19" s="10" t="str">
        <x:v>SGK_KHTN_6_CD</x:v>
      </x:c>
      <x:c r="E19" s="8" t="n">
        <x:v>5</x:v>
      </x:c>
      <x:c r="F19" s="10" t="str"/>
      <x:c r="G19" s="10" t="str">
        <x:v>truc_tiep</x:v>
      </x:c>
      <x:c r="H19" s="10" t="str">
        <x:v>hinh</x:v>
      </x:c>
      <x:c r="I19" s="10" t="str">
        <x:v>Nhận biết</x:v>
      </x:c>
      <x:c r="J19" s="10" t="str">
        <x:v>SGK_KHTN_6_CD_testset.csv</x:v>
      </x:c>
      <x:c r="K19" s="9" t="str">
        <x:v>Yêu cầu nhớ, nêu, kể tên, nhận diện hoặc lấy lại thông tin trực tiếp.</x:v>
      </x:c>
      <x:c r="L19" s="9" t="str">
        <x:v>Cần giáo viên xác nhận</x:v>
      </x:c>
      <x:c r="M19" s="9" t="str"/>
    </x:row>
    <x:row r="20">
      <x:c r="A20" s="8" t="n">
        <x:v>19</x:v>
      </x:c>
      <x:c r="B20" s="9" t="str">
        <x:v>Quan sát Hình 1.2, hãy kể tên các vai trò của khoa học tự nhiên trong cuộc sống mà sơ đồ trong hình thể hiện.</x:v>
      </x:c>
      <x:c r="C20" s="9" t="str">
        <x:v>Khoa học tự nhiên giúp: cung cấp thông tin và nâng cao hiểu biết của con người; bảo vệ môi trường (ví dụ: nghiên cứu xử lí ô nhiễm nước); bảo vệ sức khoẻ và cuộc sống của con người; ứng dụng trong sản xuất và phát triển.</x:v>
      </x:c>
      <x:c r="D20" s="10" t="str">
        <x:v>SGK_KHTN_6_CD</x:v>
      </x:c>
      <x:c r="E20" s="8" t="n">
        <x:v>6</x:v>
      </x:c>
      <x:c r="F20" s="10" t="str"/>
      <x:c r="G20" s="10" t="str">
        <x:v>truc_tiep</x:v>
      </x:c>
      <x:c r="H20" s="10" t="str">
        <x:v>hinh</x:v>
      </x:c>
      <x:c r="I20" s="10" t="str">
        <x:v>Nhận biết</x:v>
      </x:c>
      <x:c r="J20" s="10" t="str">
        <x:v>SGK_KHTN_6_CD_testset.csv</x:v>
      </x:c>
      <x:c r="K20" s="9" t="str">
        <x:v>Yêu cầu nhớ, nêu, kể tên, nhận diện hoặc lấy lại thông tin trực tiếp.</x:v>
      </x:c>
      <x:c r="L20" s="9" t="str">
        <x:v>Cần giáo viên xác nhận</x:v>
      </x:c>
      <x:c r="M20" s="9" t="str"/>
    </x:row>
    <x:row r="21">
      <x:c r="A21" s="8" t="n">
        <x:v>20</x:v>
      </x:c>
      <x:c r="B21" s="9" t="str">
        <x:v>Quan sát Hình 1.3, hãy cho biết từng nhánh a), b), c), đ), e) trong hình tương ứng với lĩnh vực chủ yếu nào của khoa học tự nhiên?</x:v>
      </x:c>
      <x:c r="C21" s="9" t="str">
        <x:v>a) Sinh học; b) Thiên văn học; c) Khoa học Trái Đất; đ) Vật lí; e) Hoá học.</x:v>
      </x:c>
      <x:c r="D21" s="10" t="str">
        <x:v>SGK_KHTN_6_CD</x:v>
      </x:c>
      <x:c r="E21" s="8" t="n">
        <x:v>7</x:v>
      </x:c>
      <x:c r="F21" s="10" t="str"/>
      <x:c r="G21" s="10" t="str">
        <x:v>truc_tiep</x:v>
      </x:c>
      <x:c r="H21" s="10" t="str">
        <x:v>hinh</x:v>
      </x:c>
      <x:c r="I21" s="10" t="str">
        <x:v>Nhận biết</x:v>
      </x:c>
      <x:c r="J21" s="10" t="str">
        <x:v>SGK_KHTN_6_CD_testset.csv</x:v>
      </x:c>
      <x:c r="K21" s="9" t="str">
        <x:v>Yêu cầu nhớ, nêu, kể tên, nhận diện hoặc lấy lại thông tin trực tiếp.</x:v>
      </x:c>
      <x:c r="L21" s="9" t="str">
        <x:v>Cần giáo viên xác nhận</x:v>
      </x:c>
      <x:c r="M21" s="9" t="str"/>
    </x:row>
    <x:row r="22">
      <x:c r="A22" s="8" t="n">
        <x:v>21</x:v>
      </x:c>
      <x:c r="B22" s="9" t="str">
        <x:v>Trong các loại thức ăn sau đây: rau xanh, gạo, thịt, ngô — loại nào chứa nhiều chất đạm?</x:v>
      </x:c>
      <x:c r="C22" s="9" t="str">
        <x:v>Thịt.</x:v>
      </x:c>
      <x:c r="D22" s="10" t="str">
        <x:v>SGK_KHTN_6_CTST</x:v>
      </x:c>
      <x:c r="E22" s="8" t="n">
        <x:v>70</x:v>
      </x:c>
      <x:c r="F22" s="10" t="str">
        <x:v>sinh</x:v>
      </x:c>
      <x:c r="G22" s="10" t="str">
        <x:v>truc_tiep</x:v>
      </x:c>
      <x:c r="H22" s="10" t="str">
        <x:v>van_ban</x:v>
      </x:c>
      <x:c r="I22" s="10" t="str">
        <x:v>Nhận biết</x:v>
      </x:c>
      <x:c r="J22" s="10" t="str">
        <x:v>SGK_KHTN_6_CTST_testset.csv</x:v>
      </x:c>
      <x:c r="K22" s="9" t="str">
        <x:v>Yêu cầu nhớ, nêu, kể tên, nhận diện hoặc lấy lại thông tin trực tiếp.</x:v>
      </x:c>
      <x:c r="L22" s="9" t="str">
        <x:v>Cần giáo viên xác nhận</x:v>
      </x:c>
      <x:c r="M22" s="9" t="str"/>
    </x:row>
    <x:row r="23">
      <x:c r="A23" s="8" t="n">
        <x:v>22</x:v>
      </x:c>
      <x:c r="B23" s="9" t="str">
        <x:v>Bọt tạo ra khi rót bia hoặc nước giải khát có gas là hỗn hợp không đồng nhất gồm chất gì phân tán trong môi trường chất gì?</x:v>
      </x:c>
      <x:c r="C23" s="9" t="str">
        <x:v>Bọt là hỗn hợp không đồng nhất gồm chất khí phân tán trong môi trường chất lỏng.</x:v>
      </x:c>
      <x:c r="D23" s="10" t="str">
        <x:v>SGK_KHTN_6_CTST</x:v>
      </x:c>
      <x:c r="E23" s="8" t="n">
        <x:v>79</x:v>
      </x:c>
      <x:c r="F23" s="10" t="str">
        <x:v>hoa</x:v>
      </x:c>
      <x:c r="G23" s="10" t="str">
        <x:v>truc_tiep</x:v>
      </x:c>
      <x:c r="H23" s="10" t="str">
        <x:v>van_ban</x:v>
      </x:c>
      <x:c r="I23" s="10" t="str">
        <x:v>Nhận biết</x:v>
      </x:c>
      <x:c r="J23" s="10" t="str">
        <x:v>SGK_KHTN_6_CTST_testset.csv</x:v>
      </x:c>
      <x:c r="K23" s="9" t="str">
        <x:v>Yêu cầu nhớ, nêu, kể tên, nhận diện hoặc lấy lại thông tin trực tiếp.</x:v>
      </x:c>
      <x:c r="L23" s="9" t="str">
        <x:v>Cần giáo viên xác nhận</x:v>
      </x:c>
      <x:c r="M23" s="9" t="str"/>
    </x:row>
    <x:row r="24">
      <x:c r="A24" s="8" t="n">
        <x:v>23</x:v>
      </x:c>
      <x:c r="B24" s="9" t="str">
        <x:v>Theo nội dung bài học về ánh sáng của Mặt Trăng, khi nào chúng ta có thể quan sát thấy một vật?</x:v>
      </x:c>
      <x:c r="C24" s="9" t="str">
        <x:v>Chúng ta quan sát thấy một vật khi có ánh sáng từ vật đó chiếu tới mắt chúng ta.</x:v>
      </x:c>
      <x:c r="D24" s="10" t="str">
        <x:v>SGK_KHTN_6_CTST</x:v>
      </x:c>
      <x:c r="E24" s="8" t="n">
        <x:v>191</x:v>
      </x:c>
      <x:c r="F24" s="10" t="str">
        <x:v>ly</x:v>
      </x:c>
      <x:c r="G24" s="10" t="str">
        <x:v>truc_tiep</x:v>
      </x:c>
      <x:c r="H24" s="10" t="str">
        <x:v>van_ban</x:v>
      </x:c>
      <x:c r="I24" s="10" t="str">
        <x:v>Thông hiểu</x:v>
      </x:c>
      <x:c r="J24" s="10" t="str">
        <x:v>SGK_KHTN_6_CTST_testset.csv</x:v>
      </x:c>
      <x:c r="K24" s="9" t="str">
        <x:v>Yêu cầu mô tả, giải thích, so sánh hoặc diễn giải ý nghĩa/mối quan hệ.</x:v>
      </x:c>
      <x:c r="L24" s="9" t="str">
        <x:v>Cần giáo viên xác nhận</x:v>
      </x:c>
      <x:c r="M24" s="9" t="str"/>
    </x:row>
    <x:row r="25">
      <x:c r="A25" s="8" t="n">
        <x:v>24</x:v>
      </x:c>
      <x:c r="B25" s="9" t="str">
        <x:v>Khi đo thể tích chất lỏng bằng cốc chia độ, em cần đặt mắt như thế nào để đọc kết quả đo?</x:v>
      </x:c>
      <x:c r="C25" s="9" t="str">
        <x:v>Đặt mắt nhìn ngang với độ cao mức chất lỏng trong cốc.</x:v>
      </x:c>
      <x:c r="D25" s="10" t="str">
        <x:v>SGK_KHTN_6_CTST</x:v>
      </x:c>
      <x:c r="E25" s="8" t="n">
        <x:v>14</x:v>
      </x:c>
      <x:c r="F25" s="10" t="str">
        <x:v>khac</x:v>
      </x:c>
      <x:c r="G25" s="10" t="str">
        <x:v>truc_tiep</x:v>
      </x:c>
      <x:c r="H25" s="10" t="str">
        <x:v>van_ban</x:v>
      </x:c>
      <x:c r="I25" s="10" t="str">
        <x:v>Nhận biết</x:v>
      </x:c>
      <x:c r="J25" s="10" t="str">
        <x:v>SGK_KHTN_6_CTST_testset.csv</x:v>
      </x:c>
      <x:c r="K25" s="9" t="str">
        <x:v>Yêu cầu nhớ, nêu, kể tên, nhận diện hoặc lấy lại thông tin trực tiếp.</x:v>
      </x:c>
      <x:c r="L25" s="9" t="str">
        <x:v>Cần giáo viên xác nhận</x:v>
      </x:c>
      <x:c r="M25" s="9" t="str"/>
    </x:row>
    <x:row r="26">
      <x:c r="A26" s="8" t="n">
        <x:v>25</x:v>
      </x:c>
      <x:c r="B26" s="9" t="str">
        <x:v>Người bị bệnh sốt xuất huyết thường có những biểu hiện gì?</x:v>
      </x:c>
      <x:c r="C26" s="9" t="str">
        <x:v>Đau đầu, sốt cao, đau đáy mắt, chảy máu cam, nôn.</x:v>
      </x:c>
      <x:c r="D26" s="10" t="str">
        <x:v>SGK_KHTN_6_CTST</x:v>
      </x:c>
      <x:c r="E26" s="8" t="n">
        <x:v>111</x:v>
      </x:c>
      <x:c r="F26" s="10" t="str">
        <x:v>sinh</x:v>
      </x:c>
      <x:c r="G26" s="10" t="str">
        <x:v>truc_tiep</x:v>
      </x:c>
      <x:c r="H26" s="10" t="str">
        <x:v>van_ban</x:v>
      </x:c>
      <x:c r="I26" s="10" t="str">
        <x:v>Nhận biết</x:v>
      </x:c>
      <x:c r="J26" s="10" t="str">
        <x:v>SGK_KHTN_6_CTST_testset.csv</x:v>
      </x:c>
      <x:c r="K26" s="9" t="str">
        <x:v>Yêu cầu nhớ, nêu, kể tên, nhận diện hoặc lấy lại thông tin trực tiếp.</x:v>
      </x:c>
      <x:c r="L26" s="9" t="str">
        <x:v>Cần giáo viên xác nhận</x:v>
      </x:c>
      <x:c r="M26" s="9" t="str"/>
    </x:row>
    <x:row r="27">
      <x:c r="A27" s="8" t="n">
        <x:v>26</x:v>
      </x:c>
      <x:c r="B27" s="9" t="str">
        <x:v>Trong bài học về đa dạng thực vật, loài nào được nêu làm đại diện tiêu biểu cho nhóm Rêu?</x:v>
      </x:c>
      <x:c r="C27" s="9" t="str">
        <x:v>Cây rêu tường.</x:v>
      </x:c>
      <x:c r="D27" s="10" t="str">
        <x:v>SGK_KHTN_6_CTST</x:v>
      </x:c>
      <x:c r="E27" s="8" t="n">
        <x:v>131</x:v>
      </x:c>
      <x:c r="F27" s="10" t="str">
        <x:v>sinh</x:v>
      </x:c>
      <x:c r="G27" s="10" t="str">
        <x:v>truc_tiep</x:v>
      </x:c>
      <x:c r="H27" s="10" t="str">
        <x:v>van_ban</x:v>
      </x:c>
      <x:c r="I27" s="10" t="str">
        <x:v>Nhận biết</x:v>
      </x:c>
      <x:c r="J27" s="10" t="str">
        <x:v>SGK_KHTN_6_CTST_testset.csv</x:v>
      </x:c>
      <x:c r="K27" s="9" t="str">
        <x:v>Yêu cầu nhớ, nêu, kể tên, nhận diện hoặc lấy lại thông tin trực tiếp.</x:v>
      </x:c>
      <x:c r="L27" s="9" t="str">
        <x:v>Cần giáo viên xác nhận</x:v>
      </x:c>
      <x:c r="M27" s="9" t="str"/>
    </x:row>
    <x:row r="28">
      <x:c r="A28" s="8" t="n">
        <x:v>27</x:v>
      </x:c>
      <x:c r="B28" s="9" t="str">
        <x:v>Trong thí nghiệm đo nhiệt độ sôi của nước, bình cầu được chứa bao nhiêu mL nước cất?</x:v>
      </x:c>
      <x:c r="C28" s="9" t="str">
        <x:v>150 mL nước cất</x:v>
      </x:c>
      <x:c r="D28" s="10" t="str">
        <x:v>SGK_KHTN_6_CTST</x:v>
      </x:c>
      <x:c r="E28" s="8" t="n">
        <x:v>38</x:v>
      </x:c>
      <x:c r="F28" s="10" t="str">
        <x:v>hoa</x:v>
      </x:c>
      <x:c r="G28" s="10" t="str">
        <x:v>truc_tiep</x:v>
      </x:c>
      <x:c r="H28" s="10" t="str">
        <x:v>van_ban</x:v>
      </x:c>
      <x:c r="I28" s="10" t="str">
        <x:v>Nhận biết</x:v>
      </x:c>
      <x:c r="J28" s="10" t="str">
        <x:v>SGK_KHTN_6_CTST_testset.csv</x:v>
      </x:c>
      <x:c r="K28" s="9" t="str">
        <x:v>Yêu cầu nhớ, nêu, kể tên, nhận diện hoặc lấy lại thông tin trực tiếp.</x:v>
      </x:c>
      <x:c r="L28" s="9" t="str">
        <x:v>Cần giáo viên xác nhận</x:v>
      </x:c>
      <x:c r="M28" s="9" t="str"/>
    </x:row>
    <x:row r="29">
      <x:c r="A29" s="8" t="n">
        <x:v>28</x:v>
      </x:c>
      <x:c r="B29" s="9" t="str">
        <x:v>Trong tình huống cầu thủ sút phạt 11 m hoặc đánh đầu từ quả phạt góc, hướng và tốc độ của quả bóng thay đổi. Nguyên nhân gây ra sự thay đổi đó là gì?</x:v>
      </x:c>
      <x:c r="C29" s="9" t="str">
        <x:v>Do tác dụng của lực (lực tác dụng lên quả bóng).</x:v>
      </x:c>
      <x:c r="D29" s="10" t="str">
        <x:v>SGK_KHTN_6_CTST</x:v>
      </x:c>
      <x:c r="E29" s="8" t="n">
        <x:v>160</x:v>
      </x:c>
      <x:c r="F29" s="10" t="str">
        <x:v>ly</x:v>
      </x:c>
      <x:c r="G29" s="10" t="str">
        <x:v>suy_luan</x:v>
      </x:c>
      <x:c r="H29" s="10" t="str">
        <x:v>van_ban</x:v>
      </x:c>
      <x:c r="I29" s="10" t="str">
        <x:v>Thông hiểu</x:v>
      </x:c>
      <x:c r="J29" s="10" t="str">
        <x:v>SGK_KHTN_6_CTST_testset.csv</x:v>
      </x:c>
      <x:c r="K29" s="9" t="str">
        <x:v>Yêu cầu mô tả, giải thích, so sánh hoặc diễn giải ý nghĩa/mối quan hệ.</x:v>
      </x:c>
      <x:c r="L29" s="9" t="str">
        <x:v>Cần giáo viên xác nhận</x:v>
      </x:c>
      <x:c r="M29" s="9" t="str"/>
    </x:row>
    <x:row r="30">
      <x:c r="A30" s="8" t="n">
        <x:v>29</x:v>
      </x:c>
      <x:c r="B30" s="9" t="str">
        <x:v>Dựa vào biểu đồ thành phần không khí cho thấy nitrogen chiếm 78% và còn có oxygen cùng các chất khác, hãy cho biết không khí là một chất hay hỗn hợp nhiều chất? Vì sao?</x:v>
      </x:c>
      <x:c r="C30" s="9" t="str">
        <x:v>Không khí là hỗn hợp nhiều chất, vì nó gồm nhiều chất khác nhau (nitrogen, oxygen,...) với tỉ lệ phần trăm thể tích xác định.</x:v>
      </x:c>
      <x:c r="D30" s="10" t="str">
        <x:v>SGK_KHTN_6_CTST</x:v>
      </x:c>
      <x:c r="E30" s="8" t="n">
        <x:v>48</x:v>
      </x:c>
      <x:c r="F30" s="10" t="str">
        <x:v>hoa</x:v>
      </x:c>
      <x:c r="G30" s="10" t="str">
        <x:v>suy_luan</x:v>
      </x:c>
      <x:c r="H30" s="10" t="str">
        <x:v>van_ban</x:v>
      </x:c>
      <x:c r="I30" s="10" t="str">
        <x:v>Thông hiểu</x:v>
      </x:c>
      <x:c r="J30" s="10" t="str">
        <x:v>SGK_KHTN_6_CTST_testset.csv</x:v>
      </x:c>
      <x:c r="K30" s="9" t="str">
        <x:v>Yêu cầu mô tả, giải thích, so sánh hoặc diễn giải ý nghĩa/mối quan hệ.</x:v>
      </x:c>
      <x:c r="L30" s="9" t="str">
        <x:v>Cần giáo viên xác nhận</x:v>
      </x:c>
      <x:c r="M30" s="9" t="str"/>
    </x:row>
    <x:row r="31">
      <x:c r="A31" s="8" t="n">
        <x:v>30</x:v>
      </x:c>
      <x:c r="B31" s="9" t="str">
        <x:v>Sau khi ăn hay uống thực phẩm bị nhiễm độc, người bệnh thường đột ngột xuất hiện những triệu chứng gì?</x:v>
      </x:c>
      <x:c r="C31" s="9" t="str">
        <x:v>Đau bụng, buồn nôn, nôn, đi ngoài nhiều lần (phân nước), mất nước; có thể không sốt hoặc sốt cao trên 38 °C.</x:v>
      </x:c>
      <x:c r="D31" s="10" t="str">
        <x:v>SGK_KHTN_6_CTST</x:v>
      </x:c>
      <x:c r="E31" s="8" t="n">
        <x:v>70</x:v>
      </x:c>
      <x:c r="F31" s="10" t="str">
        <x:v>sinh</x:v>
      </x:c>
      <x:c r="G31" s="10" t="str">
        <x:v>truc_tiep</x:v>
      </x:c>
      <x:c r="H31" s="10" t="str">
        <x:v>van_ban</x:v>
      </x:c>
      <x:c r="I31" s="10" t="str">
        <x:v>Nhận biết</x:v>
      </x:c>
      <x:c r="J31" s="10" t="str">
        <x:v>SGK_KHTN_6_CTST_testset.csv</x:v>
      </x:c>
      <x:c r="K31" s="9" t="str">
        <x:v>Yêu cầu nhớ, nêu, kể tên, nhận diện hoặc lấy lại thông tin trực tiếp.</x:v>
      </x:c>
      <x:c r="L31" s="9" t="str">
        <x:v>Cần giáo viên xác nhận</x:v>
      </x:c>
      <x:c r="M31" s="9" t="str"/>
    </x:row>
    <x:row r="32">
      <x:c r="A32" s="8" t="n">
        <x:v>31</x:v>
      </x:c>
      <x:c r="B32" s="9" t="str">
        <x:v>Bụi phấn, bụi công trường xây dựng là ví dụ của dạng hỗn hợp nào? Thành phần phân tán và môi trường phân tán của dạng hỗn hợp này là gì?</x:v>
      </x:c>
      <x:c r="C32" s="9" t="str">
        <x:v>Bụi là hỗn hợp không đồng nhất gồm các hạt nhỏ chất rắn phân tán trong môi trường chất khí.</x:v>
      </x:c>
      <x:c r="D32" s="10" t="str">
        <x:v>SGK_KHTN_6_CTST</x:v>
      </x:c>
      <x:c r="E32" s="8" t="n">
        <x:v>79</x:v>
      </x:c>
      <x:c r="F32" s="10" t="str">
        <x:v>hoa</x:v>
      </x:c>
      <x:c r="G32" s="10" t="str">
        <x:v>truc_tiep</x:v>
      </x:c>
      <x:c r="H32" s="10" t="str">
        <x:v>van_ban</x:v>
      </x:c>
      <x:c r="I32" s="10" t="str">
        <x:v>Thông hiểu</x:v>
      </x:c>
      <x:c r="J32" s="10" t="str">
        <x:v>SGK_KHTN_6_CTST_testset.csv</x:v>
      </x:c>
      <x:c r="K32" s="9" t="str">
        <x:v>Yêu cầu mô tả, giải thích, so sánh hoặc diễn giải ý nghĩa/mối quan hệ.</x:v>
      </x:c>
      <x:c r="L32" s="9" t="str">
        <x:v>Cần giáo viên xác nhận</x:v>
      </x:c>
      <x:c r="M32" s="9" t="str"/>
    </x:row>
    <x:row r="33">
      <x:c r="A33" s="8" t="n">
        <x:v>32</x:v>
      </x:c>
      <x:c r="B33" s="9" t="str">
        <x:v>Vì sao vào các đêm khác nhau chúng ta nhìn thấy Mặt Trăng có các hình dạng khác nhau như Trăng tròn, Trăng khuyết?</x:v>
      </x:c>
      <x:c r="C33" s="9" t="str">
        <x:v>Vì Mặt Trăng không tự phát ra ánh sáng mà chỉ phản xạ ánh sáng Mặt Trời, nên hình dạng nhìn thấy của Mặt Trăng thay đổi qua các đêm.</x:v>
      </x:c>
      <x:c r="D33" s="10" t="str">
        <x:v>SGK_KHTN_6_CTST</x:v>
      </x:c>
      <x:c r="E33" s="8" t="n">
        <x:v>191</x:v>
      </x:c>
      <x:c r="F33" s="10" t="str">
        <x:v>ly</x:v>
      </x:c>
      <x:c r="G33" s="10" t="str">
        <x:v>suy_luan</x:v>
      </x:c>
      <x:c r="H33" s="10" t="str">
        <x:v>van_ban</x:v>
      </x:c>
      <x:c r="I33" s="10" t="str">
        <x:v>Thông hiểu</x:v>
      </x:c>
      <x:c r="J33" s="10" t="str">
        <x:v>SGK_KHTN_6_CTST_testset.csv</x:v>
      </x:c>
      <x:c r="K33" s="9" t="str">
        <x:v>Yêu cầu mô tả, giải thích, so sánh hoặc diễn giải ý nghĩa/mối quan hệ.</x:v>
      </x:c>
      <x:c r="L33" s="9" t="str">
        <x:v>Cần giáo viên xác nhận</x:v>
      </x:c>
      <x:c r="M33" s="9" t="str"/>
    </x:row>
    <x:row r="34">
      <x:c r="A34" s="8" t="n">
        <x:v>33</x:v>
      </x:c>
      <x:c r="B34" s="9" t="str">
        <x:v>Khi sử dụng pipette nhỏ giọt, mỗi giọt chuẩn có thể tích khoảng bao nhiêu?</x:v>
      </x:c>
      <x:c r="C34" s="9" t="str">
        <x:v>Khoảng 50 µL (20 giọt sẽ là 1 mL).</x:v>
      </x:c>
      <x:c r="D34" s="10" t="str">
        <x:v>SGK_KHTN_6_CTST</x:v>
      </x:c>
      <x:c r="E34" s="8" t="n">
        <x:v>14</x:v>
      </x:c>
      <x:c r="F34" s="10" t="str">
        <x:v>khac</x:v>
      </x:c>
      <x:c r="G34" s="10" t="str">
        <x:v>truc_tiep</x:v>
      </x:c>
      <x:c r="H34" s="10" t="str">
        <x:v>van_ban</x:v>
      </x:c>
      <x:c r="I34" s="10" t="str">
        <x:v>Nhận biết</x:v>
      </x:c>
      <x:c r="J34" s="10" t="str">
        <x:v>SGK_KHTN_6_CTST_testset.csv</x:v>
      </x:c>
      <x:c r="K34" s="9" t="str">
        <x:v>Yêu cầu nhớ, nêu, kể tên, nhận diện hoặc lấy lại thông tin trực tiếp.</x:v>
      </x:c>
      <x:c r="L34" s="9" t="str">
        <x:v>Cần giáo viên xác nhận</x:v>
      </x:c>
      <x:c r="M34" s="9" t="str"/>
    </x:row>
    <x:row r="35">
      <x:c r="A35" s="8" t="n">
        <x:v>34</x:v>
      </x:c>
      <x:c r="B35" s="9" t="str">
        <x:v>Rêu thuộc nhóm thực vật bậc thấp hay bậc cao? Rêu đã có mạch dẫn chưa?</x:v>
      </x:c>
      <x:c r="C35" s="9" t="str">
        <x:v>Rêu là nhóm thực vật bậc thấp, cây chưa có rễ chính thức, chưa có mạch dẫn.</x:v>
      </x:c>
      <x:c r="D35" s="10" t="str">
        <x:v>SGK_KHTN_6_CTST</x:v>
      </x:c>
      <x:c r="E35" s="8" t="n">
        <x:v>131</x:v>
      </x:c>
      <x:c r="F35" s="10" t="str">
        <x:v>sinh</x:v>
      </x:c>
      <x:c r="G35" s="10" t="str">
        <x:v>truc_tiep</x:v>
      </x:c>
      <x:c r="H35" s="10" t="str">
        <x:v>van_ban</x:v>
      </x:c>
      <x:c r="I35" s="10" t="str">
        <x:v>Nhận biết</x:v>
      </x:c>
      <x:c r="J35" s="10" t="str">
        <x:v>SGK_KHTN_6_CTST_testset.csv</x:v>
      </x:c>
      <x:c r="K35" s="9" t="str">
        <x:v>Yêu cầu nhớ, nêu, kể tên, nhận diện hoặc lấy lại thông tin trực tiếp.</x:v>
      </x:c>
      <x:c r="L35" s="9" t="str">
        <x:v>Cần giáo viên xác nhận</x:v>
      </x:c>
      <x:c r="M35" s="9" t="str"/>
    </x:row>
    <x:row r="36">
      <x:c r="A36" s="8" t="n">
        <x:v>35</x:v>
      </x:c>
      <x:c r="B36" s="9" t="str">
        <x:v>Trong thí nghiệm hoà tan muối ăn vào nước và trộn dầu ăn với nước, sau khi cho một thìa muối ăn vào cốc thứ nhất và một thìa dầu ăn vào cốc thứ hai, cần làm gì tiếp theo trước khi quan sát hiện tượng?</x:v>
      </x:c>
      <x:c r="C36" s="9" t="str">
        <x:v>Khuấy đều, để yên một lúc rồi quan sát hiện tượng</x:v>
      </x:c>
      <x:c r="D36" s="10" t="str">
        <x:v>SGK_KHTN_6_CTST</x:v>
      </x:c>
      <x:c r="E36" s="8" t="n">
        <x:v>38</x:v>
      </x:c>
      <x:c r="F36" s="10" t="str">
        <x:v>hoa</x:v>
      </x:c>
      <x:c r="G36" s="10" t="str">
        <x:v>truc_tiep</x:v>
      </x:c>
      <x:c r="H36" s="10" t="str">
        <x:v>van_ban</x:v>
      </x:c>
      <x:c r="I36" s="10" t="str">
        <x:v>Nhận biết</x:v>
      </x:c>
      <x:c r="J36" s="10" t="str">
        <x:v>SGK_KHTN_6_CTST_testset.csv</x:v>
      </x:c>
      <x:c r="K36" s="9" t="str">
        <x:v>Yêu cầu nhớ, nêu, kể tên, nhận diện hoặc lấy lại thông tin trực tiếp.</x:v>
      </x:c>
      <x:c r="L36" s="9" t="str">
        <x:v>Cần giáo viên xác nhận</x:v>
      </x:c>
      <x:c r="M36" s="9" t="str"/>
    </x:row>
    <x:row r="37">
      <x:c r="A37" s="8" t="n">
        <x:v>36</x:v>
      </x:c>
      <x:c r="B37" s="9" t="str">
        <x:v>Khi tìm hiểu về sự thay đổi tốc độ và thay đổi hướng chuyển động của vật, hãy kể tên các dạng biến đổi chuyển động thường quan sát được ở các vật.</x:v>
      </x:c>
      <x:c r="C37" s="9" t="str">
        <x:v>Vật đang đứng yên, bắt đầu chuyển động; vật đang chuyển động, bị dừng lại; vật chuyển động nhanh lên; vật chuyển động chậm lại; vật đang chuyển động theo hướng này bỗng chuyển động theo hướng khác.</x:v>
      </x:c>
      <x:c r="D37" s="10" t="str">
        <x:v>SGK_KHTN_6_CTST</x:v>
      </x:c>
      <x:c r="E37" s="8" t="n">
        <x:v>160</x:v>
      </x:c>
      <x:c r="F37" s="10" t="str">
        <x:v>ly</x:v>
      </x:c>
      <x:c r="G37" s="10" t="str">
        <x:v>truc_tiep</x:v>
      </x:c>
      <x:c r="H37" s="10" t="str">
        <x:v>van_ban</x:v>
      </x:c>
      <x:c r="I37" s="10" t="str">
        <x:v>Nhận biết</x:v>
      </x:c>
      <x:c r="J37" s="10" t="str">
        <x:v>SGK_KHTN_6_CTST_testset.csv</x:v>
      </x:c>
      <x:c r="K37" s="9" t="str">
        <x:v>Yêu cầu nhớ, nêu, kể tên, nhận diện hoặc lấy lại thông tin trực tiếp.</x:v>
      </x:c>
      <x:c r="L37" s="9" t="str">
        <x:v>Cần giáo viên xác nhận</x:v>
      </x:c>
      <x:c r="M37" s="9" t="str"/>
    </x:row>
    <x:row r="38">
      <x:c r="A38" s="8" t="n">
        <x:v>37</x:v>
      </x:c>
      <x:c r="B38" s="9" t="str">
        <x:v>Quan sát Hình 1.1, em hãy cho biết bạn nhỏ trong ảnh đang thực hiện hoạt động gì và hoạt động đó có phải là hoạt động nghiên cứu khoa học không?</x:v>
      </x:c>
      <x:c r="C38" s="9" t="str">
        <x:v>Bạn nhỏ đang thả diều. Đây không phải là hoạt động nghiên cứu khoa học vì thả diều chỉ là hoạt động vui chơi, giải trí, không nhằm tìm tòi, khám phá ra tri thức khoa học mới.</x:v>
      </x:c>
      <x:c r="D38" s="10" t="str">
        <x:v>SGK_KHTN_6_CTST</x:v>
      </x:c>
      <x:c r="E38" s="8" t="n">
        <x:v>6</x:v>
      </x:c>
      <x:c r="F38" s="10" t="str"/>
      <x:c r="G38" s="10" t="str">
        <x:v>truc_tiep</x:v>
      </x:c>
      <x:c r="H38" s="10" t="str">
        <x:v>hinh</x:v>
      </x:c>
      <x:c r="I38" s="10" t="str">
        <x:v>Nhận biết</x:v>
      </x:c>
      <x:c r="J38" s="10" t="str">
        <x:v>SGK_KHTN_6_CTST_testset.csv</x:v>
      </x:c>
      <x:c r="K38" s="9" t="str">
        <x:v>Yêu cầu nhớ, nêu, kể tên, nhận diện hoặc lấy lại thông tin trực tiếp.</x:v>
      </x:c>
      <x:c r="L38" s="9" t="str">
        <x:v>Cần giáo viên xác nhận</x:v>
      </x:c>
      <x:c r="M38" s="9" t="str"/>
    </x:row>
    <x:row r="39">
      <x:c r="A39" s="8" t="n">
        <x:v>38</x:v>
      </x:c>
      <x:c r="B39" s="9" t="str">
        <x:v>Quan sát Hình 1.8, em hãy cho biết vai trò của khoa học tự nhiên được thể hiện qua thiết bị trong hình là gì?</x:v>
      </x:c>
      <x:c r="C39" s="9" t="str">
        <x:v>Khoa học tự nhiên được ứng dụng vào sản xuất dược phẩm, góp phần bảo vệ và nâng cao sức khoẻ con người.</x:v>
      </x:c>
      <x:c r="D39" s="10" t="str">
        <x:v>SGK_KHTN_6_CTST</x:v>
      </x:c>
      <x:c r="E39" s="8" t="n">
        <x:v>7</x:v>
      </x:c>
      <x:c r="F39" s="10" t="str"/>
      <x:c r="G39" s="10" t="str">
        <x:v>truc_tiep</x:v>
      </x:c>
      <x:c r="H39" s="10" t="str">
        <x:v>hinh</x:v>
      </x:c>
      <x:c r="I39" s="10" t="str">
        <x:v>Nhận biết</x:v>
      </x:c>
      <x:c r="J39" s="10" t="str">
        <x:v>SGK_KHTN_6_CTST_testset.csv</x:v>
      </x:c>
      <x:c r="K39" s="9" t="str">
        <x:v>Yêu cầu nhớ, nêu, kể tên, nhận diện hoặc lấy lại thông tin trực tiếp.</x:v>
      </x:c>
      <x:c r="L39" s="9" t="str">
        <x:v>Cần giáo viên xác nhận</x:v>
      </x:c>
      <x:c r="M39" s="9" t="str"/>
    </x:row>
    <x:row r="40">
      <x:c r="A40" s="8" t="n">
        <x:v>39</x:v>
      </x:c>
      <x:c r="B40" s="9" t="str">
        <x:v>Quan sát Hình 2.1, em hãy mô tả sự thay đổi của hạt đậu qua các giai đoạn nảy mầm được thể hiện trong hình.</x:v>
      </x:c>
      <x:c r="C40" s="9" t="str">
        <x:v>Hạt đậu hút nước và trương lên, vỏ hạt bị vỡ; rễ mầm nhô ra trước và phát triển thành rễ, sau đó thân mầm cùng lá mầm mọc lên dần thành cây con.</x:v>
      </x:c>
      <x:c r="D40" s="10" t="str">
        <x:v>SGK_KHTN_6_CTST</x:v>
      </x:c>
      <x:c r="E40" s="8" t="n">
        <x:v>8</x:v>
      </x:c>
      <x:c r="F40" s="10" t="str"/>
      <x:c r="G40" s="10" t="str">
        <x:v>truc_tiep</x:v>
      </x:c>
      <x:c r="H40" s="10" t="str">
        <x:v>hinh</x:v>
      </x:c>
      <x:c r="I40" s="10" t="str">
        <x:v>Thông hiểu</x:v>
      </x:c>
      <x:c r="J40" s="10" t="str">
        <x:v>SGK_KHTN_6_CTST_testset.csv</x:v>
      </x:c>
      <x:c r="K40" s="9" t="str">
        <x:v>Yêu cầu mô tả, giải thích, so sánh hoặc diễn giải ý nghĩa/mối quan hệ.</x:v>
      </x:c>
      <x:c r="L40" s="9" t="str">
        <x:v>Cần giáo viên xác nhận</x:v>
      </x:c>
      <x:c r="M40" s="9" t="str"/>
    </x:row>
    <x:row r="41">
      <x:c r="A41" s="8" t="n">
        <x:v>40</x:v>
      </x:c>
      <x:c r="B41" s="9" t="str">
        <x:v>Quan sát Hình 2.9 (con gà) và Hình 2.11 (đá sỏi), hãy cho biết hình nào thể hiện vật sống, hình nào thể hiện vật không sống? Vì sao?</x:v>
      </x:c>
      <x:c r="C41" s="9" t="str">
        <x:v>Hình 2.9 (con gà) là vật sống vì có các đặc trưng của sự sống như sinh trưởng, sinh sản, cần thức ăn; Hình 2.11 (đá sỏi) là vật không sống vì không có các đặc trưng đó.</x:v>
      </x:c>
      <x:c r="D41" s="10" t="str">
        <x:v>SGK_KHTN_6_CTST</x:v>
      </x:c>
      <x:c r="E41" s="8" t="n">
        <x:v>9</x:v>
      </x:c>
      <x:c r="F41" s="10" t="str"/>
      <x:c r="G41" s="10" t="str">
        <x:v>truc_tiep</x:v>
      </x:c>
      <x:c r="H41" s="10" t="str">
        <x:v>hinh</x:v>
      </x:c>
      <x:c r="I41" s="10" t="str">
        <x:v>Thông hiểu</x:v>
      </x:c>
      <x:c r="J41" s="10" t="str">
        <x:v>SGK_KHTN_6_CTST_testset.csv</x:v>
      </x:c>
      <x:c r="K41" s="9" t="str">
        <x:v>Yêu cầu mô tả, giải thích, so sánh hoặc diễn giải ý nghĩa/mối quan hệ.</x:v>
      </x:c>
      <x:c r="L41" s="9" t="str">
        <x:v>Cần giáo viên xác nhận</x:v>
      </x:c>
      <x:c r="M41" s="9" t="str"/>
    </x:row>
    <x:row r="42">
      <x:c r="A42" s="8" t="n">
        <x:v>41</x:v>
      </x:c>
      <x:c r="B42" s="9" t="str">
        <x:v>Nhờ quá trình nào mà kích thước và khối lượng của các tế bào con mới hình thành tăng dần lên để trở thành các tế bào trưởng thành?</x:v>
      </x:c>
      <x:c r="C42" s="9" t="str">
        <x:v>Quá trình trao đổi chất.</x:v>
      </x:c>
      <x:c r="D42" s="10" t="str">
        <x:v>SGK_KHTN_6_KNTT</x:v>
      </x:c>
      <x:c r="E42" s="8" t="n">
        <x:v>70</x:v>
      </x:c>
      <x:c r="F42" s="10" t="str">
        <x:v>sinh</x:v>
      </x:c>
      <x:c r="G42" s="10" t="str">
        <x:v>truc_tiep</x:v>
      </x:c>
      <x:c r="H42" s="10" t="str">
        <x:v>van_ban</x:v>
      </x:c>
      <x:c r="I42" s="10" t="str">
        <x:v>Nhận biết</x:v>
      </x:c>
      <x:c r="J42" s="10" t="str">
        <x:v>SGK_KHTN_6_KNTT_testset.csv</x:v>
      </x:c>
      <x:c r="K42" s="9" t="str">
        <x:v>Yêu cầu nhớ, nêu, kể tên, nhận diện hoặc lấy lại thông tin trực tiếp.</x:v>
      </x:c>
      <x:c r="L42" s="9" t="str">
        <x:v>Cần giáo viên xác nhận</x:v>
      </x:c>
      <x:c r="M42" s="9" t="str"/>
    </x:row>
    <x:row r="43">
      <x:c r="A43" s="8" t="n">
        <x:v>42</x:v>
      </x:c>
      <x:c r="B43" s="9" t="str">
        <x:v>Dây dẫn điện bằng kim loại thường được bọc bên ngoài bằng lớp nhựa nhằm mục đích gì?</x:v>
      </x:c>
      <x:c r="C43" s="9" t="str">
        <x:v>Để tránh bị điện giật khi tiếp xúc (nhựa là vật liệu cách điện, không dẫn điện).</x:v>
      </x:c>
      <x:c r="D43" s="10" t="str">
        <x:v>SGK_KHTN_6_KNTT</x:v>
      </x:c>
      <x:c r="E43" s="8" t="n">
        <x:v>43</x:v>
      </x:c>
      <x:c r="F43" s="10" t="str">
        <x:v>ly</x:v>
      </x:c>
      <x:c r="G43" s="10" t="str">
        <x:v>truc_tiep</x:v>
      </x:c>
      <x:c r="H43" s="10" t="str">
        <x:v>van_ban</x:v>
      </x:c>
      <x:c r="I43" s="10" t="str">
        <x:v>Thông hiểu</x:v>
      </x:c>
      <x:c r="J43" s="10" t="str">
        <x:v>SGK_KHTN_6_KNTT_testset.csv</x:v>
      </x:c>
      <x:c r="K43" s="9" t="str">
        <x:v>Yêu cầu mô tả, giải thích, so sánh hoặc diễn giải ý nghĩa/mối quan hệ.</x:v>
      </x:c>
      <x:c r="L43" s="9" t="str">
        <x:v>Cần giáo viên xác nhận</x:v>
      </x:c>
      <x:c r="M43" s="9" t="str"/>
    </x:row>
    <x:row r="44">
      <x:c r="A44" s="8" t="n">
        <x:v>43</x:v>
      </x:c>
      <x:c r="B44" s="9" t="str">
        <x:v>Kính lúp cầm tay đơn giản có cấu tạo như thế nào?</x:v>
      </x:c>
      <x:c r="C44" s="9" t="str">
        <x:v>Là một tấm kính có phần rìa mỏng hơn phần giữa, thường được bảo vệ bởi một khung và có tay cầm.</x:v>
      </x:c>
      <x:c r="D44" s="10" t="str">
        <x:v>SGK_KHTN_6_KNTT</x:v>
      </x:c>
      <x:c r="E44" s="8" t="n">
        <x:v>13</x:v>
      </x:c>
      <x:c r="F44" s="10" t="str">
        <x:v>khac</x:v>
      </x:c>
      <x:c r="G44" s="10" t="str">
        <x:v>truc_tiep</x:v>
      </x:c>
      <x:c r="H44" s="10" t="str">
        <x:v>van_ban</x:v>
      </x:c>
      <x:c r="I44" s="10" t="str">
        <x:v>Nhận biết</x:v>
      </x:c>
      <x:c r="J44" s="10" t="str">
        <x:v>SGK_KHTN_6_KNTT_testset.csv</x:v>
      </x:c>
      <x:c r="K44" s="9" t="str">
        <x:v>Yêu cầu nhớ, nêu, kể tên, nhận diện hoặc lấy lại thông tin trực tiếp.</x:v>
      </x:c>
      <x:c r="L44" s="9" t="str">
        <x:v>Cần giáo viên xác nhận</x:v>
      </x:c>
      <x:c r="M44" s="9" t="str"/>
    </x:row>
    <x:row r="45">
      <x:c r="A45" s="8" t="n">
        <x:v>44</x:v>
      </x:c>
      <x:c r="B45" s="9" t="str">
        <x:v>Kính lúp là dụng cụ có thể phóng to ảnh của vật được quan sát khoảng bao nhiêu lần?</x:v>
      </x:c>
      <x:c r="C45" s="9" t="str">
        <x:v>Khoảng từ 3 đến 20 lần.</x:v>
      </x:c>
      <x:c r="D45" s="10" t="str">
        <x:v>SGK_KHTN_6_KNTT</x:v>
      </x:c>
      <x:c r="E45" s="8" t="n">
        <x:v>14</x:v>
      </x:c>
      <x:c r="F45" s="10" t="str">
        <x:v>khac</x:v>
      </x:c>
      <x:c r="G45" s="10" t="str">
        <x:v>truc_tiep</x:v>
      </x:c>
      <x:c r="H45" s="10" t="str">
        <x:v>van_ban</x:v>
      </x:c>
      <x:c r="I45" s="10" t="str">
        <x:v>Nhận biết</x:v>
      </x:c>
      <x:c r="J45" s="10" t="str">
        <x:v>SGK_KHTN_6_KNTT_testset.csv</x:v>
      </x:c>
      <x:c r="K45" s="9" t="str">
        <x:v>Yêu cầu nhớ, nêu, kể tên, nhận diện hoặc lấy lại thông tin trực tiếp.</x:v>
      </x:c>
      <x:c r="L45" s="9" t="str">
        <x:v>Cần giáo viên xác nhận</x:v>
      </x:c>
      <x:c r="M45" s="9" t="str"/>
    </x:row>
    <x:row r="46">
      <x:c r="A46" s="8" t="n">
        <x:v>45</x:v>
      </x:c>
      <x:c r="B46" s="9" t="str">
        <x:v>Một mẫu thực vật thu được có cơ quan sinh sản là hoa và hạt nằm bên trong quả. Theo các tiêu chí phân loại thực vật bằng đặc điểm hình thái, hai tiêu chí 'Cơ quan sinh sản' và 'Hạt' của mẫu này được trả lời như thế nào?</x:v>
      </x:c>
      <x:c r="C46" s="9" t="str">
        <x:v>Cơ quan sinh sản: hoa; Hạt: hạt ở trong quả.</x:v>
      </x:c>
      <x:c r="D46" s="10" t="str">
        <x:v>SGK_KHTN_6_KNTT</x:v>
      </x:c>
      <x:c r="E46" s="8" t="n">
        <x:v>141</x:v>
      </x:c>
      <x:c r="F46" s="10" t="str">
        <x:v>sinh</x:v>
      </x:c>
      <x:c r="G46" s="10" t="str">
        <x:v>suy_luan</x:v>
      </x:c>
      <x:c r="H46" s="10" t="str">
        <x:v>van_ban</x:v>
      </x:c>
      <x:c r="I46" s="10" t="str">
        <x:v>Vận dụng</x:v>
      </x:c>
      <x:c r="J46" s="10" t="str">
        <x:v>SGK_KHTN_6_KNTT_testset.csv</x:v>
      </x:c>
      <x:c r="K46" s="9" t="str">
        <x:v>Yêu cầu áp dụng kiến thức, quy tắc hoặc phép tính vào tình huống/suy luận cụ thể.</x:v>
      </x:c>
      <x:c r="L46" s="9" t="str">
        <x:v>Cần giáo viên xác nhận</x:v>
      </x:c>
      <x:c r="M46" s="9" t="str"/>
    </x:row>
    <x:row r="47">
      <x:c r="A47" s="8" t="n">
        <x:v>46</x:v>
      </x:c>
      <x:c r="B47" s="9" t="str">
        <x:v>Theo bài học, thế giới thực vật bao gồm những ngành chính nào?</x:v>
      </x:c>
      <x:c r="C47" s="9" t="str">
        <x:v>Các ngành chính là Rêu, Dương xỉ, Hạt trần và Hạt kín.</x:v>
      </x:c>
      <x:c r="D47" s="10" t="str">
        <x:v>SGK_KHTN_6_KNTT</x:v>
      </x:c>
      <x:c r="E47" s="8" t="n">
        <x:v>122</x:v>
      </x:c>
      <x:c r="F47" s="10" t="str">
        <x:v>sinh</x:v>
      </x:c>
      <x:c r="G47" s="10" t="str">
        <x:v>truc_tiep</x:v>
      </x:c>
      <x:c r="H47" s="10" t="str">
        <x:v>van_ban</x:v>
      </x:c>
      <x:c r="I47" s="10" t="str">
        <x:v>Nhận biết</x:v>
      </x:c>
      <x:c r="J47" s="10" t="str">
        <x:v>SGK_KHTN_6_KNTT_testset.csv</x:v>
      </x:c>
      <x:c r="K47" s="9" t="str">
        <x:v>Yêu cầu nhớ, nêu, kể tên, nhận diện hoặc lấy lại thông tin trực tiếp.</x:v>
      </x:c>
      <x:c r="L47" s="9" t="str">
        <x:v>Cần giáo viên xác nhận</x:v>
      </x:c>
      <x:c r="M47" s="9" t="str"/>
    </x:row>
    <x:row r="48">
      <x:c r="A48" s="8" t="n">
        <x:v>47</x:v>
      </x:c>
      <x:c r="B48" s="9" t="str">
        <x:v>Trong sơ đồ các cấp tổ chức cấu tạo cơ thể người, dạ dày được dùng làm ví dụ minh hoạ cho cấp tổ chức nào?</x:v>
      </x:c>
      <x:c r="C48" s="9" t="str">
        <x:v>Cơ quan.</x:v>
      </x:c>
      <x:c r="D48" s="10" t="str">
        <x:v>SGK_KHTN_6_KNTT</x:v>
      </x:c>
      <x:c r="E48" s="8" t="n">
        <x:v>79</x:v>
      </x:c>
      <x:c r="F48" s="10" t="str">
        <x:v>sinh</x:v>
      </x:c>
      <x:c r="G48" s="10" t="str">
        <x:v>truc_tiep</x:v>
      </x:c>
      <x:c r="H48" s="10" t="str">
        <x:v>van_ban</x:v>
      </x:c>
      <x:c r="I48" s="10" t="str">
        <x:v>Nhận biết</x:v>
      </x:c>
      <x:c r="J48" s="10" t="str">
        <x:v>SGK_KHTN_6_KNTT_testset.csv</x:v>
      </x:c>
      <x:c r="K48" s="9" t="str">
        <x:v>Yêu cầu nhớ, nêu, kể tên, nhận diện hoặc lấy lại thông tin trực tiếp.</x:v>
      </x:c>
      <x:c r="L48" s="9" t="str">
        <x:v>Cần giáo viên xác nhận</x:v>
      </x:c>
      <x:c r="M48" s="9" t="str"/>
    </x:row>
    <x:row r="49">
      <x:c r="A49" s="8" t="n">
        <x:v>48</x:v>
      </x:c>
      <x:c r="B49" s="9" t="str">
        <x:v>Theo bài học về năng lượng, năng lượng cho mọi hoạt động hằng ngày của con người được lấy từ đâu?</x:v>
      </x:c>
      <x:c r="C49" s="9" t="str">
        <x:v>Được lấy từ năng lượng dự trữ trong thức ăn.</x:v>
      </x:c>
      <x:c r="D49" s="10" t="str">
        <x:v>SGK_KHTN_6_KNTT</x:v>
      </x:c>
      <x:c r="E49" s="8" t="n">
        <x:v>162</x:v>
      </x:c>
      <x:c r="F49" s="10" t="str">
        <x:v>ly</x:v>
      </x:c>
      <x:c r="G49" s="10" t="str">
        <x:v>truc_tiep</x:v>
      </x:c>
      <x:c r="H49" s="10" t="str">
        <x:v>van_ban</x:v>
      </x:c>
      <x:c r="I49" s="10" t="str">
        <x:v>Nhận biết</x:v>
      </x:c>
      <x:c r="J49" s="10" t="str">
        <x:v>SGK_KHTN_6_KNTT_testset.csv</x:v>
      </x:c>
      <x:c r="K49" s="9" t="str">
        <x:v>Yêu cầu nhớ, nêu, kể tên, nhận diện hoặc lấy lại thông tin trực tiếp.</x:v>
      </x:c>
      <x:c r="L49" s="9" t="str">
        <x:v>Cần giáo viên xác nhận</x:v>
      </x:c>
      <x:c r="M49" s="9" t="str"/>
    </x:row>
    <x:row r="50">
      <x:c r="A50" s="8" t="n">
        <x:v>49</x:v>
      </x:c>
      <x:c r="B50" s="9" t="str">
        <x:v>Các nguồn năng lượng tái tạo trong tự nhiên bao gồm những nguồn nào theo bài học về phân loại nguồn năng lượng?</x:v>
      </x:c>
      <x:c r="C50" s="9" t="str">
        <x:v>Mặt Trời, gió, nước, sinh khối, địa nhiệt,...</x:v>
      </x:c>
      <x:c r="D50" s="10" t="str">
        <x:v>SGK_KHTN_6_KNTT</x:v>
      </x:c>
      <x:c r="E50" s="8" t="n">
        <x:v>175</x:v>
      </x:c>
      <x:c r="F50" s="10" t="str">
        <x:v>ly</x:v>
      </x:c>
      <x:c r="G50" s="10" t="str">
        <x:v>truc_tiep</x:v>
      </x:c>
      <x:c r="H50" s="10" t="str">
        <x:v>van_ban</x:v>
      </x:c>
      <x:c r="I50" s="10" t="str">
        <x:v>Nhận biết</x:v>
      </x:c>
      <x:c r="J50" s="10" t="str">
        <x:v>SGK_KHTN_6_KNTT_testset.csv</x:v>
      </x:c>
      <x:c r="K50" s="9" t="str">
        <x:v>Yêu cầu nhớ, nêu, kể tên, nhận diện hoặc lấy lại thông tin trực tiếp.</x:v>
      </x:c>
      <x:c r="L50" s="9" t="str">
        <x:v>Cần giáo viên xác nhận</x:v>
      </x:c>
      <x:c r="M50" s="9" t="str"/>
    </x:row>
    <x:row r="51">
      <x:c r="A51" s="8" t="n">
        <x:v>50</x:v>
      </x:c>
      <x:c r="B51" s="9" t="str">
        <x:v>Trong thí nghiệm tìm hiểu khả năng dẫn nhiệt của vật liệu bằng các chiếc thìa đặt trong bát, nước nóng đổ vào bát có nhiệt độ khoảng bao nhiêu độ C?</x:v>
      </x:c>
      <x:c r="C51" s="9" t="str">
        <x:v>Khoảng 90 °C.</x:v>
      </x:c>
      <x:c r="D51" s="10" t="str">
        <x:v>SGK_KHTN_6_KNTT</x:v>
      </x:c>
      <x:c r="E51" s="8" t="n">
        <x:v>43</x:v>
      </x:c>
      <x:c r="F51" s="10" t="str">
        <x:v>ly</x:v>
      </x:c>
      <x:c r="G51" s="10" t="str">
        <x:v>truc_tiep</x:v>
      </x:c>
      <x:c r="H51" s="10" t="str">
        <x:v>van_ban</x:v>
      </x:c>
      <x:c r="I51" s="10" t="str">
        <x:v>Nhận biết</x:v>
      </x:c>
      <x:c r="J51" s="10" t="str">
        <x:v>SGK_KHTN_6_KNTT_testset.csv</x:v>
      </x:c>
      <x:c r="K51" s="9" t="str">
        <x:v>Yêu cầu nhớ, nêu, kể tên, nhận diện hoặc lấy lại thông tin trực tiếp.</x:v>
      </x:c>
      <x:c r="L51" s="9" t="str">
        <x:v>Cần giáo viên xác nhận</x:v>
      </x:c>
      <x:c r="M51" s="9" t="str"/>
    </x:row>
    <x:row r="52">
      <x:c r="A52" s="8" t="n">
        <x:v>51</x:v>
      </x:c>
      <x:c r="B52" s="9" t="str">
        <x:v>Các loại kính lúp thông dụng như kính lúp cầm tay, kính lúp để bàn có đèn, kính lúp đeo mắt có khả năng phóng to ảnh của vật được quan sát khoảng bao nhiêu lần?</x:v>
      </x:c>
      <x:c r="C52" s="9" t="str">
        <x:v>Khoảng từ 3 đến 20 lần.</x:v>
      </x:c>
      <x:c r="D52" s="10" t="str">
        <x:v>SGK_KHTN_6_KNTT</x:v>
      </x:c>
      <x:c r="E52" s="8" t="n">
        <x:v>13</x:v>
      </x:c>
      <x:c r="F52" s="10" t="str">
        <x:v>khac</x:v>
      </x:c>
      <x:c r="G52" s="10" t="str">
        <x:v>truc_tiep</x:v>
      </x:c>
      <x:c r="H52" s="10" t="str">
        <x:v>van_ban</x:v>
      </x:c>
      <x:c r="I52" s="10" t="str">
        <x:v>Nhận biết</x:v>
      </x:c>
      <x:c r="J52" s="10" t="str">
        <x:v>SGK_KHTN_6_KNTT_testset.csv</x:v>
      </x:c>
      <x:c r="K52" s="9" t="str">
        <x:v>Yêu cầu nhớ, nêu, kể tên, nhận diện hoặc lấy lại thông tin trực tiếp.</x:v>
      </x:c>
      <x:c r="L52" s="9" t="str">
        <x:v>Cần giáo viên xác nhận</x:v>
      </x:c>
      <x:c r="M52" s="9" t="str"/>
    </x:row>
    <x:row r="53">
      <x:c r="A53" s="8" t="n">
        <x:v>52</x:v>
      </x:c>
      <x:c r="B53" s="9" t="str">
        <x:v>Một học sinh muốn quan sát chi tiết nhỏ nhất có thể trên chiếc lá. Em nên chọn kính lúp hay phần mềm kính lúp điện tử trên điện thoại thông minh? Vì sao?</x:v>
      </x:c>
      <x:c r="C53" s="9" t="str">
        <x:v>Nên chọn kính lúp, vì kính lúp phóng to ảnh từ 3 đến 20 lần, còn phần mềm kính lúp điện tử trên điện thoại chỉ phóng to được tối đa 10 lần.</x:v>
      </x:c>
      <x:c r="D53" s="10" t="str">
        <x:v>SGK_KHTN_6_KNTT</x:v>
      </x:c>
      <x:c r="E53" s="8" t="n">
        <x:v>14</x:v>
      </x:c>
      <x:c r="F53" s="10" t="str">
        <x:v>khac</x:v>
      </x:c>
      <x:c r="G53" s="10" t="str">
        <x:v>suy_luan</x:v>
      </x:c>
      <x:c r="H53" s="10" t="str">
        <x:v>van_ban</x:v>
      </x:c>
      <x:c r="I53" s="10" t="str">
        <x:v>Vận dụng</x:v>
      </x:c>
      <x:c r="J53" s="10" t="str">
        <x:v>SGK_KHTN_6_KNTT_testset.csv</x:v>
      </x:c>
      <x:c r="K53" s="9" t="str">
        <x:v>Yêu cầu áp dụng kiến thức, quy tắc hoặc phép tính vào tình huống/suy luận cụ thể.</x:v>
      </x:c>
      <x:c r="L53" s="9" t="str">
        <x:v>Cần giáo viên xác nhận</x:v>
      </x:c>
      <x:c r="M53" s="9" t="str"/>
    </x:row>
    <x:row r="54">
      <x:c r="A54" s="8" t="n">
        <x:v>53</x:v>
      </x:c>
      <x:c r="B54" s="9" t="str">
        <x:v>Khi quan sát và phân loại thực vật theo đặc điểm hình thái (rễ, thân, lá, cơ quan sinh sản), đối với bộ phận rễ, người quan sát cần xác định đặc điểm gì?</x:v>
      </x:c>
      <x:c r="C54" s="9" t="str">
        <x:v>Xác định cây có rễ thật hay không.</x:v>
      </x:c>
      <x:c r="D54" s="10" t="str">
        <x:v>SGK_KHTN_6_KNTT</x:v>
      </x:c>
      <x:c r="E54" s="8" t="n">
        <x:v>141</x:v>
      </x:c>
      <x:c r="F54" s="10" t="str">
        <x:v>sinh</x:v>
      </x:c>
      <x:c r="G54" s="10" t="str">
        <x:v>truc_tiep</x:v>
      </x:c>
      <x:c r="H54" s="10" t="str">
        <x:v>van_ban</x:v>
      </x:c>
      <x:c r="I54" s="10" t="str">
        <x:v>Nhận biết</x:v>
      </x:c>
      <x:c r="J54" s="10" t="str">
        <x:v>SGK_KHTN_6_KNTT_testset.csv</x:v>
      </x:c>
      <x:c r="K54" s="9" t="str">
        <x:v>Yêu cầu nhớ, nêu, kể tên, nhận diện hoặc lấy lại thông tin trực tiếp.</x:v>
      </x:c>
      <x:c r="L54" s="9" t="str">
        <x:v>Cần giáo viên xác nhận</x:v>
      </x:c>
      <x:c r="M54" s="9" t="str"/>
    </x:row>
    <x:row r="55">
      <x:c r="A55" s="8" t="n">
        <x:v>54</x:v>
      </x:c>
      <x:c r="B55" s="9" t="str">
        <x:v>Ngành thực vật nào có số lượng loài được biết đến nhiều nhất và có khả năng thích nghi với nhiều môi trường sống khác nhau?</x:v>
      </x:c>
      <x:c r="C55" s="9" t="str">
        <x:v>Ngành Hạt kín.</x:v>
      </x:c>
      <x:c r="D55" s="10" t="str">
        <x:v>SGK_KHTN_6_KNTT</x:v>
      </x:c>
      <x:c r="E55" s="8" t="n">
        <x:v>122</x:v>
      </x:c>
      <x:c r="F55" s="10" t="str">
        <x:v>sinh</x:v>
      </x:c>
      <x:c r="G55" s="10" t="str">
        <x:v>truc_tiep</x:v>
      </x:c>
      <x:c r="H55" s="10" t="str">
        <x:v>van_ban</x:v>
      </x:c>
      <x:c r="I55" s="10" t="str">
        <x:v>Nhận biết</x:v>
      </x:c>
      <x:c r="J55" s="10" t="str">
        <x:v>SGK_KHTN_6_KNTT_testset.csv</x:v>
      </x:c>
      <x:c r="K55" s="9" t="str">
        <x:v>Yêu cầu nhớ, nêu, kể tên, nhận diện hoặc lấy lại thông tin trực tiếp.</x:v>
      </x:c>
      <x:c r="L55" s="9" t="str">
        <x:v>Cần giáo viên xác nhận</x:v>
      </x:c>
      <x:c r="M55" s="9" t="str"/>
    </x:row>
    <x:row r="56">
      <x:c r="A56" s="8" t="n">
        <x:v>55</x:v>
      </x:c>
      <x:c r="B56" s="9" t="str">
        <x:v>Trong sơ đồ các cấp tổ chức của cơ thể, hệ tiêu hoá được nêu là ví dụ minh hoạ cho cấp tổ chức nào?</x:v>
      </x:c>
      <x:c r="C56" s="9" t="str">
        <x:v>Hệ cơ quan.</x:v>
      </x:c>
      <x:c r="D56" s="10" t="str">
        <x:v>SGK_KHTN_6_KNTT</x:v>
      </x:c>
      <x:c r="E56" s="8" t="n">
        <x:v>79</x:v>
      </x:c>
      <x:c r="F56" s="10" t="str">
        <x:v>sinh</x:v>
      </x:c>
      <x:c r="G56" s="10" t="str">
        <x:v>truc_tiep</x:v>
      </x:c>
      <x:c r="H56" s="10" t="str">
        <x:v>van_ban</x:v>
      </x:c>
      <x:c r="I56" s="10" t="str">
        <x:v>Nhận biết</x:v>
      </x:c>
      <x:c r="J56" s="10" t="str">
        <x:v>SGK_KHTN_6_KNTT_testset.csv</x:v>
      </x:c>
      <x:c r="K56" s="9" t="str">
        <x:v>Yêu cầu nhớ, nêu, kể tên, nhận diện hoặc lấy lại thông tin trực tiếp.</x:v>
      </x:c>
      <x:c r="L56" s="9" t="str">
        <x:v>Cần giáo viên xác nhận</x:v>
      </x:c>
      <x:c r="M56" s="9" t="str"/>
    </x:row>
    <x:row r="57">
      <x:c r="A57" s="8" t="n">
        <x:v>56</x:v>
      </x:c>
      <x:c r="B57" s="9" t="str">
        <x:v>Nếu không có năng lượng của ánh sáng mặt trời, cây cối có thể lớn lên, ra hoa, kết trái được không? Vì sao?</x:v>
      </x:c>
      <x:c r="C57" s="9" t="str">
        <x:v>Không, vì cây cối lớn lên, ra hoa, kết trái là nhờ hấp thụ năng lượng của ánh sáng mặt trời, mà mọi hiện tượng trong tự nhiên đều cần năng lượng.</x:v>
      </x:c>
      <x:c r="D57" s="10" t="str">
        <x:v>SGK_KHTN_6_KNTT</x:v>
      </x:c>
      <x:c r="E57" s="8" t="n">
        <x:v>162</x:v>
      </x:c>
      <x:c r="F57" s="10" t="str">
        <x:v>ly</x:v>
      </x:c>
      <x:c r="G57" s="10" t="str">
        <x:v>suy_luan</x:v>
      </x:c>
      <x:c r="H57" s="10" t="str">
        <x:v>van_ban</x:v>
      </x:c>
      <x:c r="I57" s="10" t="str">
        <x:v>Thông hiểu</x:v>
      </x:c>
      <x:c r="J57" s="10" t="str">
        <x:v>SGK_KHTN_6_KNTT_testset.csv</x:v>
      </x:c>
      <x:c r="K57" s="9" t="str">
        <x:v>Yêu cầu mô tả, giải thích, so sánh hoặc diễn giải ý nghĩa/mối quan hệ.</x:v>
      </x:c>
      <x:c r="L57" s="9" t="str">
        <x:v>Cần giáo viên xác nhận</x:v>
      </x:c>
      <x:c r="M57" s="9" t="str"/>
    </x:row>
    <x:row r="58">
      <x:c r="A58" s="8" t="n">
        <x:v>57</x:v>
      </x:c>
      <x:c r="B58" s="9" t="str">
        <x:v>Quan sát Hình 1.2, hãy kể tên MỘT cặp phương tiện (xưa – nay) mà hình vẽ dùng để so sánh và cho biết cặp phương tiện đó thuộc lĩnh vực nào của đời sống.</x:v>
      </x:c>
      <x:c r="C58" s="9" t="str">
        <x:v>Học sinh phải nêu đúng một cặp phương tiện thực tế có trong hình kèm lĩnh vực tương ứng (ví dụ cần đối chiếu lại với ảnh: giao thông – xe ngựa/đi bộ → ô tô/máy bay; liên lạc – thư tay → điện thoại).</x:v>
      </x:c>
      <x:c r="D58" s="10" t="str">
        <x:v>SGK_KHTN_6_KNTT</x:v>
      </x:c>
      <x:c r="E58" s="8" t="n">
        <x:v>9</x:v>
      </x:c>
      <x:c r="F58" s="10" t="str"/>
      <x:c r="G58" s="10" t="str">
        <x:v>truc_tiep</x:v>
      </x:c>
      <x:c r="H58" s="10" t="str">
        <x:v>hinh</x:v>
      </x:c>
      <x:c r="I58" s="10" t="str">
        <x:v>Thông hiểu</x:v>
      </x:c>
      <x:c r="J58" s="10" t="str">
        <x:v>SGK_KHTN_6_KNTT_testset.csv</x:v>
      </x:c>
      <x:c r="K58" s="9" t="str">
        <x:v>Yêu cầu mô tả, giải thích, so sánh hoặc diễn giải ý nghĩa/mối quan hệ.</x:v>
      </x:c>
      <x:c r="L58" s="9" t="str">
        <x:v>Cần giáo viên xác nhận</x:v>
      </x:c>
      <x:c r="M58" s="9" t="str"/>
    </x:row>
    <x:row r="59">
      <x:c r="A59" s="8" t="n">
        <x:v>58</x:v>
      </x:c>
      <x:c r="B59" s="9" t="str">
        <x:v>Quan sát Hình 1.1 (mục c và d), hãy cho biết mỗi thí nghiệm minh hoạ điều gì.</x:v>
      </x:c>
      <x:c r="C59" s="9" t="str">
        <x:v>Mục c) chiếc đũa nhúng vào cốc nước trông như bị gãy ở mặt nước — minh hoạ hiện tượng ánh sáng bị khúc xạ khi truyền qua hai môi trường trong suốt khác nhau. Mục d) cây được chụp kín bằng bình thuỷ tinh — thí nghiệm kiểm tra cây có tiếp tục phát triển bình thường khi bị cách li với không khí bên ngoài hay không.</x:v>
      </x:c>
      <x:c r="D59" s="10" t="str">
        <x:v>SGK_KHTN_6_KNTT</x:v>
      </x:c>
      <x:c r="E59" s="8" t="n">
        <x:v>8</x:v>
      </x:c>
      <x:c r="F59" s="10" t="str"/>
      <x:c r="G59" s="10" t="str">
        <x:v>truc_tiep</x:v>
      </x:c>
      <x:c r="H59" s="10" t="str">
        <x:v>hinh</x:v>
      </x:c>
      <x:c r="I59" s="10" t="str">
        <x:v>Thông hiểu</x:v>
      </x:c>
      <x:c r="J59" s="10" t="str">
        <x:v>SGK_KHTN_6_KNTT_testset.csv</x:v>
      </x:c>
      <x:c r="K59" s="9" t="str">
        <x:v>Yêu cầu mô tả, giải thích, so sánh hoặc diễn giải ý nghĩa/mối quan hệ.</x:v>
      </x:c>
      <x:c r="L59" s="9" t="str">
        <x:v>Cần giáo viên xác nhận</x:v>
      </x:c>
      <x:c r="M59" s="9" t="str"/>
    </x:row>
    <x:row r="60">
      <x:c r="A60" s="8" t="n">
        <x:v>59</x:v>
      </x:c>
      <x:c r="B60" s="9" t="str">
        <x:v>Quan sát Hình 2.1, hãy kể tên hai kí hiệu an toàn trong phòng thực hành được thể hiện trong hình và nêu ý nghĩa mỗi kí hiệu.</x:v>
      </x:c>
      <x:c r="C60" s="9" t="str">
        <x:v>Hình 2.1 thể hiện các kí hiệu an toàn, ví dụ: kí hiệu đeo kính bảo hộ và găng tay (yêu cầu dùng thiết bị bảo hộ cá nhân khi làm thí nghiệm) và kí hiệu cấm đưa tay lên miệng/ăn uống (cảnh báo không ăn uống trong phòng thực hành).</x:v>
      </x:c>
      <x:c r="D60" s="10" t="str">
        <x:v>SGK_KHTN_6_KNTT</x:v>
      </x:c>
      <x:c r="E60" s="8" t="n">
        <x:v>11</x:v>
      </x:c>
      <x:c r="F60" s="10" t="str"/>
      <x:c r="G60" s="10" t="str">
        <x:v>truc_tiep</x:v>
      </x:c>
      <x:c r="H60" s="10" t="str">
        <x:v>hinh</x:v>
      </x:c>
      <x:c r="I60" s="10" t="str">
        <x:v>Thông hiểu</x:v>
      </x:c>
      <x:c r="J60" s="10" t="str">
        <x:v>SGK_KHTN_6_KNTT_testset.csv</x:v>
      </x:c>
      <x:c r="K60" s="9" t="str">
        <x:v>Yêu cầu mô tả, giải thích, so sánh hoặc diễn giải ý nghĩa/mối quan hệ.</x:v>
      </x:c>
      <x:c r="L60" s="9" t="str">
        <x:v>Cần giáo viên xác nhận</x:v>
      </x:c>
      <x:c r="M60" s="9" t="str"/>
    </x:row>
    <x:row r="61">
      <x:c r="A61" s="8" t="n">
        <x:v>60</x:v>
      </x:c>
      <x:c r="B61" s="9" t="str">
        <x:v>Một đoạn thân cây hoa hồng được cắt ra rồi cắm xuống đất có thể phát triển thành cây mới không? Hãy giải thích dựa vào khái niệm sinh sản sinh dưỡng ở thực vật.</x:v>
      </x:c>
      <x:c r="C61" s="9" t="str">
        <x:v>Có. Vì thân là một trong các cơ quan sinh dưỡng (rễ, thân, lá), mà sinh sản sinh dưỡng là sự hình thành cây mới từ một phần của cơ quan sinh dưỡng.</x:v>
      </x:c>
      <x:c r="D61" s="10" t="str">
        <x:v>SGK_KHTN_7_CD</x:v>
      </x:c>
      <x:c r="E61" s="8" t="n">
        <x:v>148</x:v>
      </x:c>
      <x:c r="F61" s="10" t="str">
        <x:v>sinh</x:v>
      </x:c>
      <x:c r="G61" s="10" t="str">
        <x:v>suy_luan</x:v>
      </x:c>
      <x:c r="H61" s="10" t="str">
        <x:v>van_ban</x:v>
      </x:c>
      <x:c r="I61" s="10" t="str">
        <x:v>Vận dụng</x:v>
      </x:c>
      <x:c r="J61" s="10" t="str">
        <x:v>SGK_KHTN_7_CD_testset.csv</x:v>
      </x:c>
      <x:c r="K61" s="9" t="str">
        <x:v>Yêu cầu áp dụng kiến thức, quy tắc hoặc phép tính vào tình huống/suy luận cụ thể.</x:v>
      </x:c>
      <x:c r="L61" s="9" t="str">
        <x:v>Cần giáo viên xác nhận</x:v>
      </x:c>
      <x:c r="M61" s="9" t="str"/>
    </x:row>
    <x:row r="62">
      <x:c r="A62" s="8" t="n">
        <x:v>61</x:v>
      </x:c>
      <x:c r="B62" s="9" t="str">
        <x:v>Quá trình sinh sản hữu tính ở hầu hết các loài động vật gồm ba giai đoạn nối tiếp nhau. Hãy kể tên ba giai đoạn đó theo thứ tự.</x:v>
      </x:c>
      <x:c r="C62" s="9" t="str">
        <x:v>(1) Hình thành tinh trùng và hình thành trứng; (2) Thụ tinh tạo thành hợp tử; (3) Hợp tử phát triển thành phôi, hình thành cơ thể mới.</x:v>
      </x:c>
      <x:c r="D62" s="10" t="str">
        <x:v>SGK_KHTN_7_CD</x:v>
      </x:c>
      <x:c r="E62" s="8" t="n">
        <x:v>154</x:v>
      </x:c>
      <x:c r="F62" s="10" t="str">
        <x:v>sinh</x:v>
      </x:c>
      <x:c r="G62" s="10" t="str">
        <x:v>truc_tiep</x:v>
      </x:c>
      <x:c r="H62" s="10" t="str">
        <x:v>van_ban</x:v>
      </x:c>
      <x:c r="I62" s="10" t="str">
        <x:v>Nhận biết</x:v>
      </x:c>
      <x:c r="J62" s="10" t="str">
        <x:v>SGK_KHTN_7_CD_testset.csv</x:v>
      </x:c>
      <x:c r="K62" s="9" t="str">
        <x:v>Yêu cầu nhớ, nêu, kể tên, nhận diện hoặc lấy lại thông tin trực tiếp.</x:v>
      </x:c>
      <x:c r="L62" s="9" t="str">
        <x:v>Cần giáo viên xác nhận</x:v>
      </x:c>
      <x:c r="M62" s="9" t="str"/>
    </x:row>
    <x:row r="63">
      <x:c r="A63" s="8" t="n">
        <x:v>62</x:v>
      </x:c>
      <x:c r="B63" s="9" t="str">
        <x:v>Hoa hướng dương, hoa hồng, nhãn và bưởi được thụ phấn nhờ tác nhân nào?</x:v>
      </x:c>
      <x:c r="C63" s="9" t="str">
        <x:v>Nhờ sâu bọ (côn trùng).</x:v>
      </x:c>
      <x:c r="D63" s="10" t="str">
        <x:v>SGK_KHTN_7_CD</x:v>
      </x:c>
      <x:c r="E63" s="8" t="n">
        <x:v>153</x:v>
      </x:c>
      <x:c r="F63" s="10" t="str">
        <x:v>sinh</x:v>
      </x:c>
      <x:c r="G63" s="10" t="str">
        <x:v>truc_tiep</x:v>
      </x:c>
      <x:c r="H63" s="10" t="str">
        <x:v>van_ban</x:v>
      </x:c>
      <x:c r="I63" s="10" t="str">
        <x:v>Nhận biết</x:v>
      </x:c>
      <x:c r="J63" s="10" t="str">
        <x:v>SGK_KHTN_7_CD_testset.csv</x:v>
      </x:c>
      <x:c r="K63" s="9" t="str">
        <x:v>Yêu cầu nhớ, nêu, kể tên, nhận diện hoặc lấy lại thông tin trực tiếp.</x:v>
      </x:c>
      <x:c r="L63" s="9" t="str">
        <x:v>Cần giáo viên xác nhận</x:v>
      </x:c>
      <x:c r="M63" s="9" t="str"/>
    </x:row>
    <x:row r="64">
      <x:c r="A64" s="8" t="n">
        <x:v>63</x:v>
      </x:c>
      <x:c r="B64" s="9" t="str">
        <x:v>Trong mô hình liên kết cộng hoá trị giữa H và Cl trong phân tử hydrogen chloride, người ta nói H và Cl có hoá trị bằng bao nhiêu?</x:v>
      </x:c>
      <x:c r="C64" s="9" t="str">
        <x:v>H và Cl có hoá trị I (bằng 1).</x:v>
      </x:c>
      <x:c r="D64" s="10" t="str">
        <x:v>SGK_KHTN_7_CD</x:v>
      </x:c>
      <x:c r="E64" s="8" t="n">
        <x:v>39</x:v>
      </x:c>
      <x:c r="F64" s="10" t="str">
        <x:v>hoa</x:v>
      </x:c>
      <x:c r="G64" s="10" t="str">
        <x:v>truc_tiep</x:v>
      </x:c>
      <x:c r="H64" s="10" t="str">
        <x:v>van_ban</x:v>
      </x:c>
      <x:c r="I64" s="10" t="str">
        <x:v>Nhận biết</x:v>
      </x:c>
      <x:c r="J64" s="10" t="str">
        <x:v>SGK_KHTN_7_CD_testset.csv</x:v>
      </x:c>
      <x:c r="K64" s="9" t="str">
        <x:v>Yêu cầu nhớ, nêu, kể tên, nhận diện hoặc lấy lại thông tin trực tiếp.</x:v>
      </x:c>
      <x:c r="L64" s="9" t="str">
        <x:v>Cần giáo viên xác nhận</x:v>
      </x:c>
      <x:c r="M64" s="9" t="str"/>
    </x:row>
    <x:row r="65">
      <x:c r="A65" s="8" t="n">
        <x:v>64</x:v>
      </x:c>
      <x:c r="B65" s="9" t="str">
        <x:v>Lá quang hợp cung cấp những gì cho các hoạt động sống của cây?</x:v>
      </x:c>
      <x:c r="C65" s="9" t="str">
        <x:v>Lá quang hợp tổng hợp chất hữu cơ, cung cấp nguyên liệu và năng lượng cho các hoạt động sống của cây.</x:v>
      </x:c>
      <x:c r="D65" s="10" t="str">
        <x:v>SGK_KHTN_7_CD</x:v>
      </x:c>
      <x:c r="E65" s="8" t="n">
        <x:v>162</x:v>
      </x:c>
      <x:c r="F65" s="10" t="str">
        <x:v>sinh</x:v>
      </x:c>
      <x:c r="G65" s="10" t="str">
        <x:v>truc_tiep</x:v>
      </x:c>
      <x:c r="H65" s="10" t="str">
        <x:v>van_ban</x:v>
      </x:c>
      <x:c r="I65" s="10" t="str">
        <x:v>Thông hiểu</x:v>
      </x:c>
      <x:c r="J65" s="10" t="str">
        <x:v>SGK_KHTN_7_CD_testset.csv</x:v>
      </x:c>
      <x:c r="K65" s="9" t="str">
        <x:v>Yêu cầu mô tả, giải thích, so sánh hoặc diễn giải ý nghĩa/mối quan hệ.</x:v>
      </x:c>
      <x:c r="L65" s="9" t="str">
        <x:v>Cần giáo viên xác nhận</x:v>
      </x:c>
      <x:c r="M65" s="9" t="str"/>
    </x:row>
    <x:row r="66">
      <x:c r="A66" s="8" t="n">
        <x:v>65</x:v>
      </x:c>
      <x:c r="B66" s="9" t="str">
        <x:v>Khi biết công thức hoá học của một hợp chất, hãy nêu các bước tính phần trăm khối lượng của một nguyên tố trong hợp chất đó.</x:v>
      </x:c>
      <x:c r="C66" s="9" t="str">
        <x:v>Bước 1: Tính khối lượng mỗi nguyên tố có trong một phân tử hợp chất; Bước 2: Tính khối lượng phân tử; Bước 3: Tính phần trăm khối lượng của nguyên tố theo công thức: % khối lượng nguyên tố = (khối lượng nguyên tố / khối lượng phân tử hợp chất) × 100%.</x:v>
      </x:c>
      <x:c r="D66" s="10" t="str">
        <x:v>SGK_KHTN_7_CD</x:v>
      </x:c>
      <x:c r="E66" s="8" t="n">
        <x:v>43</x:v>
      </x:c>
      <x:c r="F66" s="10" t="str">
        <x:v>hoa</x:v>
      </x:c>
      <x:c r="G66" s="10" t="str">
        <x:v>truc_tiep</x:v>
      </x:c>
      <x:c r="H66" s="10" t="str">
        <x:v>van_ban</x:v>
      </x:c>
      <x:c r="I66" s="10" t="str">
        <x:v>Thông hiểu</x:v>
      </x:c>
      <x:c r="J66" s="10" t="str">
        <x:v>SGK_KHTN_7_CD_testset.csv</x:v>
      </x:c>
      <x:c r="K66" s="9" t="str">
        <x:v>Yêu cầu mô tả, giải thích, so sánh hoặc diễn giải ý nghĩa/mối quan hệ.</x:v>
      </x:c>
      <x:c r="L66" s="9" t="str">
        <x:v>Cần giáo viên xác nhận</x:v>
      </x:c>
      <x:c r="M66" s="9" t="str"/>
    </x:row>
    <x:row r="67">
      <x:c r="A67" s="8" t="n">
        <x:v>66</x:v>
      </x:c>
      <x:c r="B67" s="9" t="str">
        <x:v>Cho biết số đơn vị điện tích hạt nhân của các nguyên tử C, Si, O, P, N, S lần lượt là 6, 14, 8, 15, 7, 16. Hãy sắp xếp các nguyên tố này theo chiều điện tích hạt nhân tăng dần từ trái sang phải và từ trên xuống dưới.</x:v>
      </x:c>
      <x:c r="C67" s="9" t="str">
        <x:v>C, N, O, Si, P, S (tương ứng với điện tích hạt nhân 6, 7, 8, 14, 15, 16).</x:v>
      </x:c>
      <x:c r="D67" s="10" t="str">
        <x:v>SGK_KHTN_7_CD</x:v>
      </x:c>
      <x:c r="E67" s="8" t="n">
        <x:v>20</x:v>
      </x:c>
      <x:c r="F67" s="10" t="str">
        <x:v>hoa</x:v>
      </x:c>
      <x:c r="G67" s="10" t="str">
        <x:v>suy_luan</x:v>
      </x:c>
      <x:c r="H67" s="10" t="str">
        <x:v>van_ban</x:v>
      </x:c>
      <x:c r="I67" s="10" t="str">
        <x:v>Vận dụng</x:v>
      </x:c>
      <x:c r="J67" s="10" t="str">
        <x:v>SGK_KHTN_7_CD_testset.csv</x:v>
      </x:c>
      <x:c r="K67" s="9" t="str">
        <x:v>Yêu cầu áp dụng kiến thức, quy tắc hoặc phép tính vào tình huống/suy luận cụ thể.</x:v>
      </x:c>
      <x:c r="L67" s="9" t="str">
        <x:v>Cần giáo viên xác nhận</x:v>
      </x:c>
      <x:c r="M67" s="9" t="str"/>
    </x:row>
    <x:row r="68">
      <x:c r="A68" s="8" t="n">
        <x:v>67</x:v>
      </x:c>
      <x:c r="B68" s="9" t="str">
        <x:v>Theo mục Yêu cầu cần đạt của bài 'Sơ lược về bảng tuần hoàn các nguyên tố hoá học', khi mô tả cấu tạo bảng tuần hoàn, em phải nêu được bảng tuần hoàn gồm những thành phần nào?</x:v>
      </x:c>
      <x:c r="C68" s="9" t="str">
        <x:v>Ô, nhóm, chu kì</x:v>
      </x:c>
      <x:c r="D68" s="10" t="str">
        <x:v>SGK_KHTN_7_CD</x:v>
      </x:c>
      <x:c r="E68" s="8" t="n">
        <x:v>19</x:v>
      </x:c>
      <x:c r="F68" s="10" t="str">
        <x:v>hoa</x:v>
      </x:c>
      <x:c r="G68" s="10" t="str">
        <x:v>truc_tiep</x:v>
      </x:c>
      <x:c r="H68" s="10" t="str">
        <x:v>van_ban</x:v>
      </x:c>
      <x:c r="I68" s="10" t="str">
        <x:v>Nhận biết</x:v>
      </x:c>
      <x:c r="J68" s="10" t="str">
        <x:v>SGK_KHTN_7_CD_testset.csv</x:v>
      </x:c>
      <x:c r="K68" s="9" t="str">
        <x:v>Yêu cầu nhớ, nêu, kể tên, nhận diện hoặc lấy lại thông tin trực tiếp.</x:v>
      </x:c>
      <x:c r="L68" s="9" t="str">
        <x:v>Cần giáo viên xác nhận</x:v>
      </x:c>
      <x:c r="M68" s="9" t="str"/>
    </x:row>
    <x:row r="69">
      <x:c r="A69" s="8" t="n">
        <x:v>68</x:v>
      </x:c>
      <x:c r="B69" s="9" t="str">
        <x:v>Kể tên một số loài cây thường được nhân giống bằng chiết cành và một số loài cây được nhân giống bằng giâm cành.</x:v>
      </x:c>
      <x:c r="C69" s="9" t="str">
        <x:v>Chiết cành: cam, bưởi, táo; giâm cành: mía, hoa hồng, dâu tây.</x:v>
      </x:c>
      <x:c r="D69" s="10" t="str">
        <x:v>SGK_KHTN_7_CD</x:v>
      </x:c>
      <x:c r="E69" s="8" t="n">
        <x:v>149</x:v>
      </x:c>
      <x:c r="F69" s="10" t="str">
        <x:v>sinh</x:v>
      </x:c>
      <x:c r="G69" s="10" t="str">
        <x:v>truc_tiep</x:v>
      </x:c>
      <x:c r="H69" s="10" t="str">
        <x:v>van_ban</x:v>
      </x:c>
      <x:c r="I69" s="10" t="str">
        <x:v>Nhận biết</x:v>
      </x:c>
      <x:c r="J69" s="10" t="str">
        <x:v>SGK_KHTN_7_CD_testset.csv</x:v>
      </x:c>
      <x:c r="K69" s="9" t="str">
        <x:v>Yêu cầu nhớ, nêu, kể tên, nhận diện hoặc lấy lại thông tin trực tiếp.</x:v>
      </x:c>
      <x:c r="L69" s="9" t="str">
        <x:v>Cần giáo viên xác nhận</x:v>
      </x:c>
      <x:c r="M69" s="9" t="str"/>
    </x:row>
    <x:row r="70">
      <x:c r="A70" s="8" t="n">
        <x:v>69</x:v>
      </x:c>
      <x:c r="B70" s="9" t="str">
        <x:v>Sinh sản vô tính là hình thức sinh sản như thế nào?</x:v>
      </x:c>
      <x:c r="C70" s="9" t="str">
        <x:v>Là hình thức sinh sản không có sự kết hợp giữa yếu tố đực và yếu tố cái.</x:v>
      </x:c>
      <x:c r="D70" s="10" t="str">
        <x:v>SGK_KHTN_7_CD</x:v>
      </x:c>
      <x:c r="E70" s="8" t="n">
        <x:v>148</x:v>
      </x:c>
      <x:c r="F70" s="10" t="str">
        <x:v>sinh</x:v>
      </x:c>
      <x:c r="G70" s="10" t="str">
        <x:v>truc_tiep</x:v>
      </x:c>
      <x:c r="H70" s="10" t="str">
        <x:v>van_ban</x:v>
      </x:c>
      <x:c r="I70" s="10" t="str">
        <x:v>Nhận biết</x:v>
      </x:c>
      <x:c r="J70" s="10" t="str">
        <x:v>SGK_KHTN_7_CD_testset.csv</x:v>
      </x:c>
      <x:c r="K70" s="9" t="str">
        <x:v>Yêu cầu nhớ, nêu, kể tên, nhận diện hoặc lấy lại thông tin trực tiếp.</x:v>
      </x:c>
      <x:c r="L70" s="9" t="str">
        <x:v>Cần giáo viên xác nhận</x:v>
      </x:c>
      <x:c r="M70" s="9" t="str"/>
    </x:row>
    <x:row r="71">
      <x:c r="A71" s="8" t="n">
        <x:v>70</x:v>
      </x:c>
      <x:c r="B71" s="9" t="str">
        <x:v>Sau khi thụ tinh, noãn và bầu nhụy lần lượt phát triển thành bộ phận nào của cây?</x:v>
      </x:c>
      <x:c r="C71" s="9" t="str">
        <x:v>Noãn phát triển thành hạt; bầu nhụy phát triển thành quả chứa hạt.</x:v>
      </x:c>
      <x:c r="D71" s="10" t="str">
        <x:v>SGK_KHTN_7_CD</x:v>
      </x:c>
      <x:c r="E71" s="8" t="n">
        <x:v>153</x:v>
      </x:c>
      <x:c r="F71" s="10" t="str">
        <x:v>sinh</x:v>
      </x:c>
      <x:c r="G71" s="10" t="str">
        <x:v>truc_tiep</x:v>
      </x:c>
      <x:c r="H71" s="10" t="str">
        <x:v>van_ban</x:v>
      </x:c>
      <x:c r="I71" s="10" t="str">
        <x:v>Nhận biết</x:v>
      </x:c>
      <x:c r="J71" s="10" t="str">
        <x:v>SGK_KHTN_7_CD_testset.csv</x:v>
      </x:c>
      <x:c r="K71" s="9" t="str">
        <x:v>Yêu cầu nhớ, nêu, kể tên, nhận diện hoặc lấy lại thông tin trực tiếp.</x:v>
      </x:c>
      <x:c r="L71" s="9" t="str">
        <x:v>Cần giáo viên xác nhận</x:v>
      </x:c>
      <x:c r="M71" s="9" t="str"/>
    </x:row>
    <x:row r="72">
      <x:c r="A72" s="8" t="n">
        <x:v>71</x:v>
      </x:c>
      <x:c r="B72" s="9" t="str">
        <x:v>Khi tạo thành phân tử hydrogen chloride, mỗi nguyên tử H và Cl góp bao nhiêu electron để tạo ra đôi electron dùng chung giữa hai nguyên tử?</x:v>
      </x:c>
      <x:c r="C72" s="9" t="str">
        <x:v>Mỗi nguyên tử H và Cl góp 1 electron.</x:v>
      </x:c>
      <x:c r="D72" s="10" t="str">
        <x:v>SGK_KHTN_7_CD</x:v>
      </x:c>
      <x:c r="E72" s="8" t="n">
        <x:v>39</x:v>
      </x:c>
      <x:c r="F72" s="10" t="str">
        <x:v>hoa</x:v>
      </x:c>
      <x:c r="G72" s="10" t="str">
        <x:v>truc_tiep</x:v>
      </x:c>
      <x:c r="H72" s="10" t="str">
        <x:v>van_ban</x:v>
      </x:c>
      <x:c r="I72" s="10" t="str">
        <x:v>Nhận biết</x:v>
      </x:c>
      <x:c r="J72" s="10" t="str">
        <x:v>SGK_KHTN_7_CD_testset.csv</x:v>
      </x:c>
      <x:c r="K72" s="9" t="str">
        <x:v>Yêu cầu nhớ, nêu, kể tên, nhận diện hoặc lấy lại thông tin trực tiếp.</x:v>
      </x:c>
      <x:c r="L72" s="9" t="str">
        <x:v>Cần giáo viên xác nhận</x:v>
      </x:c>
      <x:c r="M72" s="9" t="str"/>
    </x:row>
    <x:row r="73">
      <x:c r="A73" s="8" t="n">
        <x:v>72</x:v>
      </x:c>
      <x:c r="B73" s="9" t="str">
        <x:v>Nếu rễ cây không hút được nước thì hoạt động quang hợp ở lá và các hoạt động sống khác của cây sẽ bị ảnh hưởng như thế nào? Giải thích dựa trên mối quan hệ giữa các hoạt động sống ở thực vật.</x:v>
      </x:c>
      <x:c r="C73" s="9" t="str">
        <x:v>Quang hợp sẽ bị ảnh hưởng vì quang hợp chịu ảnh hưởng của quá trình hút nước ở rễ; khi quang hợp giảm, lá không tổng hợp đủ chất hữu cơ nên cây thiếu nguyên liệu và năng lượng cho các hoạt động sống khác (sinh trưởng và phát triển, cảm ứng, sinh sản).</x:v>
      </x:c>
      <x:c r="D73" s="10" t="str">
        <x:v>SGK_KHTN_7_CD</x:v>
      </x:c>
      <x:c r="E73" s="8" t="n">
        <x:v>162</x:v>
      </x:c>
      <x:c r="F73" s="10" t="str">
        <x:v>sinh</x:v>
      </x:c>
      <x:c r="G73" s="10" t="str">
        <x:v>suy_luan</x:v>
      </x:c>
      <x:c r="H73" s="10" t="str">
        <x:v>van_ban</x:v>
      </x:c>
      <x:c r="I73" s="10" t="str">
        <x:v>Thông hiểu</x:v>
      </x:c>
      <x:c r="J73" s="10" t="str">
        <x:v>SGK_KHTN_7_CD_testset.csv</x:v>
      </x:c>
      <x:c r="K73" s="9" t="str">
        <x:v>Yêu cầu mô tả, giải thích, so sánh hoặc diễn giải ý nghĩa/mối quan hệ.</x:v>
      </x:c>
      <x:c r="L73" s="9" t="str">
        <x:v>Cần giáo viên xác nhận</x:v>
      </x:c>
      <x:c r="M73" s="9" t="str"/>
    </x:row>
    <x:row r="74">
      <x:c r="A74" s="8" t="n">
        <x:v>73</x:v>
      </x:c>
      <x:c r="B74" s="9" t="str">
        <x:v>Citric acid là hợp chất được sử dụng nhiều trong công nghiệp thực phẩm, dược phẩm. Trong tự nhiên, citric acid có trong những loại quả nào?</x:v>
      </x:c>
      <x:c r="C74" s="9" t="str">
        <x:v>Có trong quả chanh và một số loại quả như bưởi, cam.</x:v>
      </x:c>
      <x:c r="D74" s="10" t="str">
        <x:v>SGK_KHTN_7_CD</x:v>
      </x:c>
      <x:c r="E74" s="8" t="n">
        <x:v>43</x:v>
      </x:c>
      <x:c r="F74" s="10" t="str">
        <x:v>hoa</x:v>
      </x:c>
      <x:c r="G74" s="10" t="str">
        <x:v>truc_tiep</x:v>
      </x:c>
      <x:c r="H74" s="10" t="str">
        <x:v>van_ban</x:v>
      </x:c>
      <x:c r="I74" s="10" t="str">
        <x:v>Nhận biết</x:v>
      </x:c>
      <x:c r="J74" s="10" t="str">
        <x:v>SGK_KHTN_7_CD_testset.csv</x:v>
      </x:c>
      <x:c r="K74" s="9" t="str">
        <x:v>Yêu cầu nhớ, nêu, kể tên, nhận diện hoặc lấy lại thông tin trực tiếp.</x:v>
      </x:c>
      <x:c r="L74" s="9" t="str">
        <x:v>Cần giáo viên xác nhận</x:v>
      </x:c>
      <x:c r="M74" s="9" t="str"/>
    </x:row>
    <x:row r="75">
      <x:c r="A75" s="8" t="n">
        <x:v>74</x:v>
      </x:c>
      <x:c r="B75" s="9" t="str">
        <x:v>Bảng tuần hoàn hiện nay có bao nhiêu nguyên tố hoá học?</x:v>
      </x:c>
      <x:c r="C75" s="9" t="str">
        <x:v>118 nguyên tố hoá học.</x:v>
      </x:c>
      <x:c r="D75" s="10" t="str">
        <x:v>SGK_KHTN_7_CD</x:v>
      </x:c>
      <x:c r="E75" s="8" t="n">
        <x:v>20</x:v>
      </x:c>
      <x:c r="F75" s="10" t="str">
        <x:v>hoa</x:v>
      </x:c>
      <x:c r="G75" s="10" t="str">
        <x:v>truc_tiep</x:v>
      </x:c>
      <x:c r="H75" s="10" t="str">
        <x:v>van_ban</x:v>
      </x:c>
      <x:c r="I75" s="10" t="str">
        <x:v>Nhận biết</x:v>
      </x:c>
      <x:c r="J75" s="10" t="str">
        <x:v>SGK_KHTN_7_CD_testset.csv</x:v>
      </x:c>
      <x:c r="K75" s="9" t="str">
        <x:v>Yêu cầu nhớ, nêu, kể tên, nhận diện hoặc lấy lại thông tin trực tiếp.</x:v>
      </x:c>
      <x:c r="L75" s="9" t="str">
        <x:v>Cần giáo viên xác nhận</x:v>
      </x:c>
      <x:c r="M75" s="9" t="str"/>
    </x:row>
    <x:row r="76">
      <x:c r="A76" s="8" t="n">
        <x:v>75</x:v>
      </x:c>
      <x:c r="B76" s="9" t="str">
        <x:v>Trò chơi 'Ai nhanh hơn?' ở đầu bài yêu cầu xếp các tấm thẻ vào ô theo quy luật và đặt vấn đề: có thể sắp xếp các nguyên tố hoá học theo quy luật vào một bảng hay không. Dựa vào tên bài học, bảng đó là bảng gì?</x:v>
      </x:c>
      <x:c r="C76" s="9" t="str">
        <x:v>Bảng tuần hoàn các nguyên tố hoá học</x:v>
      </x:c>
      <x:c r="D76" s="10" t="str">
        <x:v>SGK_KHTN_7_CD</x:v>
      </x:c>
      <x:c r="E76" s="8" t="n">
        <x:v>19</x:v>
      </x:c>
      <x:c r="F76" s="10" t="str">
        <x:v>hoa</x:v>
      </x:c>
      <x:c r="G76" s="10" t="str">
        <x:v>suy_luan</x:v>
      </x:c>
      <x:c r="H76" s="10" t="str">
        <x:v>van_ban</x:v>
      </x:c>
      <x:c r="I76" s="10" t="str">
        <x:v>Thông hiểu</x:v>
      </x:c>
      <x:c r="J76" s="10" t="str">
        <x:v>SGK_KHTN_7_CD_testset.csv</x:v>
      </x:c>
      <x:c r="K76" s="9" t="str">
        <x:v>Yêu cầu mô tả, giải thích, so sánh hoặc diễn giải ý nghĩa/mối quan hệ.</x:v>
      </x:c>
      <x:c r="L76" s="9" t="str">
        <x:v>Cần giáo viên xác nhận</x:v>
      </x:c>
      <x:c r="M76" s="9" t="str"/>
    </x:row>
    <x:row r="77">
      <x:c r="A77" s="8" t="n">
        <x:v>76</x:v>
      </x:c>
      <x:c r="B77" s="9" t="str">
        <x:v>Quan sát Hình 1, hãy cho biết hạt đỗ có thể nằm ở những kiểu nào khi rơi xuống mặt đất?</x:v>
      </x:c>
      <x:c r="C77" s="9" t="str">
        <x:v>Hạt đỗ có ba kiểu nằm: nằm ngửa, nằm nghiêng và nằm ngang.</x:v>
      </x:c>
      <x:c r="D77" s="10" t="str">
        <x:v>SGK_KHTN_7_CD</x:v>
      </x:c>
      <x:c r="E77" s="8" t="n">
        <x:v>4</x:v>
      </x:c>
      <x:c r="F77" s="10" t="str"/>
      <x:c r="G77" s="10" t="str">
        <x:v>truc_tiep</x:v>
      </x:c>
      <x:c r="H77" s="10" t="str">
        <x:v>hinh</x:v>
      </x:c>
      <x:c r="I77" s="10" t="str">
        <x:v>Nhận biết</x:v>
      </x:c>
      <x:c r="J77" s="10" t="str">
        <x:v>SGK_KHTN_7_CD_testset.csv</x:v>
      </x:c>
      <x:c r="K77" s="9" t="str">
        <x:v>Yêu cầu nhớ, nêu, kể tên, nhận diện hoặc lấy lại thông tin trực tiếp.</x:v>
      </x:c>
      <x:c r="L77" s="9" t="str">
        <x:v>Cần giáo viên xác nhận</x:v>
      </x:c>
      <x:c r="M77" s="9" t="str"/>
    </x:row>
    <x:row r="78">
      <x:c r="A78" s="8" t="n">
        <x:v>77</x:v>
      </x:c>
      <x:c r="B78" s="9" t="str">
        <x:v>Quan sát Hình 4, hãy cho biết cổng quang điện gồm những bộ phận nào và mỗi bộ phận được kí hiệu bằng chữ cái gì trên hình? Chùm tín hiệu chiếu theo hướng nào?</x:v>
      </x:c>
      <x:c r="C78" s="9" t="str">
        <x:v>Cổng quang điện gồm bộ phận phát tín hiệu (kí hiệu P) và bộ phận thu tín hiệu (kí hiệu T); chùm tín hiệu chiếu từ bộ phát (P) sang bộ thu (T).</x:v>
      </x:c>
      <x:c r="D78" s="10" t="str">
        <x:v>SGK_KHTN_7_CD</x:v>
      </x:c>
      <x:c r="E78" s="8" t="n">
        <x:v>8</x:v>
      </x:c>
      <x:c r="F78" s="10" t="str"/>
      <x:c r="G78" s="10" t="str">
        <x:v>truc_tiep</x:v>
      </x:c>
      <x:c r="H78" s="10" t="str">
        <x:v>hinh</x:v>
      </x:c>
      <x:c r="I78" s="10" t="str">
        <x:v>Nhận biết</x:v>
      </x:c>
      <x:c r="J78" s="10" t="str">
        <x:v>SGK_KHTN_7_CD_testset.csv</x:v>
      </x:c>
      <x:c r="K78" s="9" t="str">
        <x:v>Yêu cầu nhớ, nêu, kể tên, nhận diện hoặc lấy lại thông tin trực tiếp.</x:v>
      </x:c>
      <x:c r="L78" s="9" t="str">
        <x:v>Cần giáo viên xác nhận</x:v>
      </x:c>
      <x:c r="M78" s="9" t="str"/>
    </x:row>
    <x:row r="79">
      <x:c r="A79" s="8" t="n">
        <x:v>78</x:v>
      </x:c>
      <x:c r="B79" s="9" t="str">
        <x:v>Quan sát Hình 5, hãy kể tên các bộ phận có gắn nhãn trong bộ thí nghiệm dùng để đo thời gian chuyển động của xe giữa hai vị trí.</x:v>
      </x:c>
      <x:c r="C79" s="9" t="str">
        <x:v>Máng nhôm; xe có gắn tấm chắn sáng; hai cổng quang điện (cổng quang điện 1 và cổng quang điện 2); đồng hồ đo thời gian hiện số.</x:v>
      </x:c>
      <x:c r="D79" s="10" t="str">
        <x:v>SGK_KHTN_7_CD</x:v>
      </x:c>
      <x:c r="E79" s="8" t="n">
        <x:v>9</x:v>
      </x:c>
      <x:c r="F79" s="10" t="str"/>
      <x:c r="G79" s="10" t="str">
        <x:v>truc_tiep</x:v>
      </x:c>
      <x:c r="H79" s="10" t="str">
        <x:v>hinh</x:v>
      </x:c>
      <x:c r="I79" s="10" t="str">
        <x:v>Nhận biết</x:v>
      </x:c>
      <x:c r="J79" s="10" t="str">
        <x:v>SGK_KHTN_7_CD_testset.csv</x:v>
      </x:c>
      <x:c r="K79" s="9" t="str">
        <x:v>Yêu cầu nhớ, nêu, kể tên, nhận diện hoặc lấy lại thông tin trực tiếp.</x:v>
      </x:c>
      <x:c r="L79" s="9" t="str">
        <x:v>Cần giáo viên xác nhận</x:v>
      </x:c>
      <x:c r="M79" s="9" t="str"/>
    </x:row>
    <x:row r="80">
      <x:c r="A80" s="8" t="n">
        <x:v>79</x:v>
      </x:c>
      <x:c r="B80" s="9" t="str">
        <x:v>Khi gảy một dây đàn guitar, dây đàn rung động quanh vị trí cân bằng và phát ra âm thanh. Theo khái niệm trong bài học về âm thanh, dây đàn đang rung động và phát ra âm thanh đó được gọi là gì?</x:v>
      </x:c>
      <x:c r="C80" s="9" t="str">
        <x:v>Nguồn âm (vì vật dao động phát ra âm thanh được gọi là nguồn âm)</x:v>
      </x:c>
      <x:c r="D80" s="10" t="str">
        <x:v>SGK_KHTN_7_CTST</x:v>
      </x:c>
      <x:c r="E80" s="8" t="n">
        <x:v>65</x:v>
      </x:c>
      <x:c r="F80" s="10" t="str">
        <x:v>ly</x:v>
      </x:c>
      <x:c r="G80" s="10" t="str">
        <x:v>suy_luan</x:v>
      </x:c>
      <x:c r="H80" s="10" t="str">
        <x:v>van_ban</x:v>
      </x:c>
      <x:c r="I80" s="10" t="str">
        <x:v>Thông hiểu</x:v>
      </x:c>
      <x:c r="J80" s="10" t="str">
        <x:v>SGK_KHTN_7_CTST_testset.csv</x:v>
      </x:c>
      <x:c r="K80" s="9" t="str">
        <x:v>Yêu cầu mô tả, giải thích, so sánh hoặc diễn giải ý nghĩa/mối quan hệ.</x:v>
      </x:c>
      <x:c r="L80" s="9" t="str">
        <x:v>Cần giáo viên xác nhận</x:v>
      </x:c>
      <x:c r="M80" s="9" t="str"/>
    </x:row>
    <x:row r="81">
      <x:c r="A81" s="8" t="n">
        <x:v>80</x:v>
      </x:c>
      <x:c r="B81" s="9" t="str">
        <x:v>Hệ thống phát hiện người, vật chuyển động (ví dụ người qua cửa ra vào) hoạt động dựa trên nguyên tắc nào của cổng quang điện?</x:v>
      </x:c>
      <x:c r="C81" s="9" t="str">
        <x:v>Dựa trên nguyên tắc: khi người/vật chuyển động chặn tia hồng ngoại chiếu đến bộ phận thu, cổng quang điện sẽ phát ra tín hiệu điều khiển thiết bị được nối với nó.</x:v>
      </x:c>
      <x:c r="D81" s="10" t="str">
        <x:v>SGK_KHTN_7_CTST</x:v>
      </x:c>
      <x:c r="E81" s="8" t="n">
        <x:v>13</x:v>
      </x:c>
      <x:c r="F81" s="10" t="str">
        <x:v>khac</x:v>
      </x:c>
      <x:c r="G81" s="10" t="str">
        <x:v>suy_luan</x:v>
      </x:c>
      <x:c r="H81" s="10" t="str">
        <x:v>van_ban</x:v>
      </x:c>
      <x:c r="I81" s="10" t="str">
        <x:v>Vận dụng</x:v>
      </x:c>
      <x:c r="J81" s="10" t="str">
        <x:v>SGK_KHTN_7_CTST_testset.csv</x:v>
      </x:c>
      <x:c r="K81" s="9" t="str">
        <x:v>Yêu cầu áp dụng kiến thức, quy tắc hoặc phép tính vào tình huống/suy luận cụ thể.</x:v>
      </x:c>
      <x:c r="L81" s="9" t="str">
        <x:v>Cần giáo viên xác nhận</x:v>
      </x:c>
      <x:c r="M81" s="9" t="str"/>
    </x:row>
    <x:row r="82">
      <x:c r="A82" s="8" t="n">
        <x:v>81</x:v>
      </x:c>
      <x:c r="B82" s="9" t="str">
        <x:v>Vỏ nguyên tử của nguyên tố neon (Ne) có bao nhiêu electron ở lớp ngoài cùng?</x:v>
      </x:c>
      <x:c r="C82" s="9" t="str">
        <x:v>8 electron, vì neon là nguyên tố khí hiếm (không phải helium) mà vỏ nguyên tử của các nguyên tố khí hiếm trừ helium đều có 8 electron ở lớp ngoài cùng.</x:v>
      </x:c>
      <x:c r="D82" s="10" t="str">
        <x:v>SGK_KHTN_7_CTST</x:v>
      </x:c>
      <x:c r="E82" s="8" t="n">
        <x:v>37</x:v>
      </x:c>
      <x:c r="F82" s="10" t="str">
        <x:v>hoa</x:v>
      </x:c>
      <x:c r="G82" s="10" t="str">
        <x:v>suy_luan</x:v>
      </x:c>
      <x:c r="H82" s="10" t="str">
        <x:v>van_ban</x:v>
      </x:c>
      <x:c r="I82" s="10" t="str">
        <x:v>Vận dụng</x:v>
      </x:c>
      <x:c r="J82" s="10" t="str">
        <x:v>SGK_KHTN_7_CTST_testset.csv</x:v>
      </x:c>
      <x:c r="K82" s="9" t="str">
        <x:v>Yêu cầu áp dụng kiến thức, quy tắc hoặc phép tính vào tình huống/suy luận cụ thể.</x:v>
      </x:c>
      <x:c r="L82" s="9" t="str">
        <x:v>Cần giáo viên xác nhận</x:v>
      </x:c>
      <x:c r="M82" s="9" t="str"/>
    </x:row>
    <x:row r="83">
      <x:c r="A83" s="8" t="n">
        <x:v>82</x:v>
      </x:c>
      <x:c r="B83" s="9" t="str">
        <x:v>Liên hệ với thí nghiệm phản xạ âm dùng các vật cản như quyển sách, tấm xốp, tấm thảm nhựa: việc trải thảm lên sàn nhà hát (ví dụ Nhà hát Thành phố Hồ Chí Minh) là sử dụng vật liệu phản xạ âm tốt hay phản xạ âm kém, nhằm mục đích gì?</x:v>
      </x:c>
      <x:c r="C83" s="9" t="str">
        <x:v>Thảm là vật phản xạ âm kém (hấp thụ âm), giúp hạn chế sự phản xạ âm, góp phần hạn chế tiếng ồn ảnh hưởng đến sức khoẻ.</x:v>
      </x:c>
      <x:c r="D83" s="10" t="str">
        <x:v>SGK_KHTN_7_CTST</x:v>
      </x:c>
      <x:c r="E83" s="8" t="n">
        <x:v>74</x:v>
      </x:c>
      <x:c r="F83" s="10" t="str">
        <x:v>ly</x:v>
      </x:c>
      <x:c r="G83" s="10" t="str">
        <x:v>suy_luan</x:v>
      </x:c>
      <x:c r="H83" s="10" t="str">
        <x:v>van_ban</x:v>
      </x:c>
      <x:c r="I83" s="10" t="str">
        <x:v>Vận dụng</x:v>
      </x:c>
      <x:c r="J83" s="10" t="str">
        <x:v>SGK_KHTN_7_CTST_testset.csv</x:v>
      </x:c>
      <x:c r="K83" s="9" t="str">
        <x:v>Yêu cầu áp dụng kiến thức, quy tắc hoặc phép tính vào tình huống/suy luận cụ thể.</x:v>
      </x:c>
      <x:c r="L83" s="9" t="str">
        <x:v>Cần giáo viên xác nhận</x:v>
      </x:c>
      <x:c r="M83" s="9" t="str"/>
    </x:row>
    <x:row r="84">
      <x:c r="A84" s="8" t="n">
        <x:v>83</x:v>
      </x:c>
      <x:c r="B84" s="9" t="str">
        <x:v>Trong hô hấp tế bào, đường glucose và khí oxygen là nguyên liệu, còn sản phẩm cuối cùng là carbon dioxide và nước. Dựa vào đó, hãy viết phương trình hô hấp tế bào dưới dạng chữ.</x:v>
      </x:c>
      <x:c r="C84" s="9" t="str">
        <x:v>Glucose + Oxygen → Carbon dioxide + Nước (đồng thời giải phóng năng lượng).</x:v>
      </x:c>
      <x:c r="D84" s="10" t="str">
        <x:v>SGK_KHTN_7_CTST</x:v>
      </x:c>
      <x:c r="E84" s="8" t="n">
        <x:v>116</x:v>
      </x:c>
      <x:c r="F84" s="10" t="str">
        <x:v>sinh</x:v>
      </x:c>
      <x:c r="G84" s="10" t="str">
        <x:v>suy_luan</x:v>
      </x:c>
      <x:c r="H84" s="10" t="str">
        <x:v>van_ban</x:v>
      </x:c>
      <x:c r="I84" s="10" t="str">
        <x:v>Vận dụng</x:v>
      </x:c>
      <x:c r="J84" s="10" t="str">
        <x:v>SGK_KHTN_7_CTST_testset.csv</x:v>
      </x:c>
      <x:c r="K84" s="9" t="str">
        <x:v>Yêu cầu áp dụng kiến thức, quy tắc hoặc phép tính vào tình huống/suy luận cụ thể.</x:v>
      </x:c>
      <x:c r="L84" s="9" t="str">
        <x:v>Cần giáo viên xác nhận</x:v>
      </x:c>
      <x:c r="M84" s="9" t="str"/>
    </x:row>
    <x:row r="85">
      <x:c r="A85" s="8" t="n">
        <x:v>84</x:v>
      </x:c>
      <x:c r="B85" s="9" t="str">
        <x:v>Nam châm điện có cấu tạo như thế nào và hoạt động khi nào?</x:v>
      </x:c>
      <x:c r="C85" s="9" t="str">
        <x:v>Gồm một lõi sắt nằm bên trong ống dây dẫn điện; khi có dòng điện đi qua ống dây, lõi sắt có từ tính và hút các vật bằng sắt hoặc thép.</x:v>
      </x:c>
      <x:c r="D85" s="10" t="str">
        <x:v>SGK_KHTN_7_CTST</x:v>
      </x:c>
      <x:c r="E85" s="8" t="n">
        <x:v>184</x:v>
      </x:c>
      <x:c r="F85" s="10" t="str">
        <x:v>khac</x:v>
      </x:c>
      <x:c r="G85" s="10" t="str">
        <x:v>truc_tiep</x:v>
      </x:c>
      <x:c r="H85" s="10" t="str">
        <x:v>van_ban</x:v>
      </x:c>
      <x:c r="I85" s="10" t="str">
        <x:v>Nhận biết</x:v>
      </x:c>
      <x:c r="J85" s="10" t="str">
        <x:v>SGK_KHTN_7_CTST_testset.csv</x:v>
      </x:c>
      <x:c r="K85" s="9" t="str">
        <x:v>Yêu cầu nhớ, nêu, kể tên, nhận diện hoặc lấy lại thông tin trực tiếp.</x:v>
      </x:c>
      <x:c r="L85" s="9" t="str">
        <x:v>Cần giáo viên xác nhận</x:v>
      </x:c>
      <x:c r="M85" s="9" t="str"/>
    </x:row>
    <x:row r="86">
      <x:c r="A86" s="8" t="n">
        <x:v>85</x:v>
      </x:c>
      <x:c r="B86" s="9" t="str">
        <x:v>Theo bài học về nguyên tử, các chất đều được tạo nên từ những hạt vô cùng nhỏ, những hạt đó được gọi là gì?</x:v>
      </x:c>
      <x:c r="C86" s="9" t="str">
        <x:v>nguyên tử</x:v>
      </x:c>
      <x:c r="D86" s="10" t="str">
        <x:v>SGK_KHTN_7_CTST</x:v>
      </x:c>
      <x:c r="E86" s="8" t="n">
        <x:v>14</x:v>
      </x:c>
      <x:c r="F86" s="10" t="str">
        <x:v>hoa</x:v>
      </x:c>
      <x:c r="G86" s="10" t="str">
        <x:v>truc_tiep</x:v>
      </x:c>
      <x:c r="H86" s="10" t="str">
        <x:v>van_ban</x:v>
      </x:c>
      <x:c r="I86" s="10" t="str">
        <x:v>Nhận biết</x:v>
      </x:c>
      <x:c r="J86" s="10" t="str">
        <x:v>SGK_KHTN_7_CTST_testset.csv</x:v>
      </x:c>
      <x:c r="K86" s="9" t="str">
        <x:v>Yêu cầu nhớ, nêu, kể tên, nhận diện hoặc lấy lại thông tin trực tiếp.</x:v>
      </x:c>
      <x:c r="L86" s="9" t="str">
        <x:v>Cần giáo viên xác nhận</x:v>
      </x:c>
      <x:c r="M86" s="9" t="str"/>
    </x:row>
    <x:row r="87">
      <x:c r="A87" s="8" t="n">
        <x:v>86</x:v>
      </x:c>
      <x:c r="B87" s="9" t="str">
        <x:v>Theo bảng thuật ngữ sách giáo khoa Khoa học tự nhiên THCS, tiếng vang là âm phản xạ nghe được chậm hơn âm truyền trực tiếp đến tai ít nhất bao lâu?</x:v>
      </x:c>
      <x:c r="C87" s="9" t="str">
        <x:v>Ít nhất 1/15 giây.</x:v>
      </x:c>
      <x:c r="D87" s="10" t="str">
        <x:v>SGK_KHTN_7_CTST</x:v>
      </x:c>
      <x:c r="E87" s="8" t="n">
        <x:v>185</x:v>
      </x:c>
      <x:c r="F87" s="10" t="str">
        <x:v>khac</x:v>
      </x:c>
      <x:c r="G87" s="10" t="str">
        <x:v>truc_tiep</x:v>
      </x:c>
      <x:c r="H87" s="10" t="str">
        <x:v>van_ban</x:v>
      </x:c>
      <x:c r="I87" s="10" t="str">
        <x:v>Nhận biết</x:v>
      </x:c>
      <x:c r="J87" s="10" t="str">
        <x:v>SGK_KHTN_7_CTST_testset.csv</x:v>
      </x:c>
      <x:c r="K87" s="9" t="str">
        <x:v>Yêu cầu nhớ, nêu, kể tên, nhận diện hoặc lấy lại thông tin trực tiếp.</x:v>
      </x:c>
      <x:c r="L87" s="9" t="str">
        <x:v>Cần giáo viên xác nhận</x:v>
      </x:c>
      <x:c r="M87" s="9" t="str"/>
    </x:row>
    <x:row r="88">
      <x:c r="A88" s="8" t="n">
        <x:v>87</x:v>
      </x:c>
      <x:c r="B88" s="9" t="str">
        <x:v>Trong quá trình xử lý cá bột rô phi, chế độ cho ăn gồm các giai đoạn 5 ngày đầu, 5 ngày kế tiếp, 5 ngày kế tiếp nữa và 6 ngày cuối; hãy tính tổng thời gian xử lý cá bột là bao nhiêu ngày?</x:v>
      </x:c>
      <x:c r="C88" s="9" t="str">
        <x:v>21 ngày (5 + 5 + 5 + 6 = 21).</x:v>
      </x:c>
      <x:c r="D88" s="10" t="str">
        <x:v>SGK_KHTN_7_CTST</x:v>
      </x:c>
      <x:c r="E88" s="8" t="n">
        <x:v>178</x:v>
      </x:c>
      <x:c r="F88" s="10" t="str">
        <x:v>sinh</x:v>
      </x:c>
      <x:c r="G88" s="10" t="str">
        <x:v>suy_luan</x:v>
      </x:c>
      <x:c r="H88" s="10" t="str">
        <x:v>van_ban</x:v>
      </x:c>
      <x:c r="I88" s="10" t="str">
        <x:v>Vận dụng</x:v>
      </x:c>
      <x:c r="J88" s="10" t="str">
        <x:v>SGK_KHTN_7_CTST_testset.csv</x:v>
      </x:c>
      <x:c r="K88" s="9" t="str">
        <x:v>Yêu cầu áp dụng kiến thức, quy tắc hoặc phép tính vào tình huống/suy luận cụ thể.</x:v>
      </x:c>
      <x:c r="L88" s="9" t="str">
        <x:v>Cần giáo viên xác nhận</x:v>
      </x:c>
      <x:c r="M88" s="9" t="str"/>
    </x:row>
    <x:row r="89">
      <x:c r="A89" s="8" t="n">
        <x:v>88</x:v>
      </x:c>
      <x:c r="B89" s="9" t="str">
        <x:v>Trong bài học về âm thanh, sự rung động qua lại vị trí cân bằng (hay vị trí đứng yên ban đầu) của những vật như âm thoa, mặt trống, dây đàn được gọi là gì?</x:v>
      </x:c>
      <x:c r="C89" s="9" t="str">
        <x:v>Dao động</x:v>
      </x:c>
      <x:c r="D89" s="10" t="str">
        <x:v>SGK_KHTN_7_CTST</x:v>
      </x:c>
      <x:c r="E89" s="8" t="n">
        <x:v>65</x:v>
      </x:c>
      <x:c r="F89" s="10" t="str">
        <x:v>ly</x:v>
      </x:c>
      <x:c r="G89" s="10" t="str">
        <x:v>truc_tiep</x:v>
      </x:c>
      <x:c r="H89" s="10" t="str">
        <x:v>van_ban</x:v>
      </x:c>
      <x:c r="I89" s="10" t="str">
        <x:v>Nhận biết</x:v>
      </x:c>
      <x:c r="J89" s="10" t="str">
        <x:v>SGK_KHTN_7_CTST_testset.csv</x:v>
      </x:c>
      <x:c r="K89" s="9" t="str">
        <x:v>Yêu cầu nhớ, nêu, kể tên, nhận diện hoặc lấy lại thông tin trực tiếp.</x:v>
      </x:c>
      <x:c r="L89" s="9" t="str">
        <x:v>Cần giáo viên xác nhận</x:v>
      </x:c>
      <x:c r="M89" s="9" t="str"/>
    </x:row>
    <x:row r="90">
      <x:c r="A90" s="8" t="n">
        <x:v>89</x:v>
      </x:c>
      <x:c r="B90" s="9" t="str">
        <x:v>Cổng quang điện (mắt thần) là thiết bị cảm biến gồm hai bộ phận nào?</x:v>
      </x:c>
      <x:c r="C90" s="9" t="str">
        <x:v>Gồm hai bộ phận phát và thu tia hồng ngoại.</x:v>
      </x:c>
      <x:c r="D90" s="10" t="str">
        <x:v>SGK_KHTN_7_CTST</x:v>
      </x:c>
      <x:c r="E90" s="8" t="n">
        <x:v>13</x:v>
      </x:c>
      <x:c r="F90" s="10" t="str">
        <x:v>khac</x:v>
      </x:c>
      <x:c r="G90" s="10" t="str">
        <x:v>truc_tiep</x:v>
      </x:c>
      <x:c r="H90" s="10" t="str">
        <x:v>van_ban</x:v>
      </x:c>
      <x:c r="I90" s="10" t="str">
        <x:v>Nhận biết</x:v>
      </x:c>
      <x:c r="J90" s="10" t="str">
        <x:v>SGK_KHTN_7_CTST_testset.csv</x:v>
      </x:c>
      <x:c r="K90" s="9" t="str">
        <x:v>Yêu cầu nhớ, nêu, kể tên, nhận diện hoặc lấy lại thông tin trực tiếp.</x:v>
      </x:c>
      <x:c r="L90" s="9" t="str">
        <x:v>Cần giáo viên xác nhận</x:v>
      </x:c>
      <x:c r="M90" s="9" t="str"/>
    </x:row>
    <x:row r="91">
      <x:c r="A91" s="8" t="n">
        <x:v>90</x:v>
      </x:c>
      <x:c r="B91" s="9" t="str">
        <x:v>Hãy kể tên một số nguyên tố thuộc nhóm khí hiếm.</x:v>
      </x:c>
      <x:c r="C91" s="9" t="str">
        <x:v>Helium (He), neon (Ne), argon (Ar), krypton (Kr), xenon (Xe).</x:v>
      </x:c>
      <x:c r="D91" s="10" t="str">
        <x:v>SGK_KHTN_7_CTST</x:v>
      </x:c>
      <x:c r="E91" s="8" t="n">
        <x:v>37</x:v>
      </x:c>
      <x:c r="F91" s="10" t="str">
        <x:v>hoa</x:v>
      </x:c>
      <x:c r="G91" s="10" t="str">
        <x:v>truc_tiep</x:v>
      </x:c>
      <x:c r="H91" s="10" t="str">
        <x:v>van_ban</x:v>
      </x:c>
      <x:c r="I91" s="10" t="str">
        <x:v>Nhận biết</x:v>
      </x:c>
      <x:c r="J91" s="10" t="str">
        <x:v>SGK_KHTN_7_CTST_testset.csv</x:v>
      </x:c>
      <x:c r="K91" s="9" t="str">
        <x:v>Yêu cầu nhớ, nêu, kể tên, nhận diện hoặc lấy lại thông tin trực tiếp.</x:v>
      </x:c>
      <x:c r="L91" s="9" t="str">
        <x:v>Cần giáo viên xác nhận</x:v>
      </x:c>
      <x:c r="M91" s="9" t="str"/>
    </x:row>
    <x:row r="92">
      <x:c r="A92" s="8" t="n">
        <x:v>91</x:v>
      </x:c>
      <x:c r="B92" s="9" t="str">
        <x:v>Trong thí nghiệm tìm hiểu sự phản xạ âm khi có vật cản, cần chuẩn bị những dụng cụ và vật liệu nào?</x:v>
      </x:c>
      <x:c r="C92" s="9" t="str">
        <x:v>Hai ống nhựa giống nhau (dài khoảng 60 - 80 cm, đường kính 60 mm), tấm gỗ, và một số vật cản có kích cỡ gần bằng nhau: quyển sách, tấm xốp, tấm kính mờ, tấm thảm nhựa.</x:v>
      </x:c>
      <x:c r="D92" s="10" t="str">
        <x:v>SGK_KHTN_7_CTST</x:v>
      </x:c>
      <x:c r="E92" s="8" t="n">
        <x:v>74</x:v>
      </x:c>
      <x:c r="F92" s="10" t="str">
        <x:v>ly</x:v>
      </x:c>
      <x:c r="G92" s="10" t="str">
        <x:v>truc_tiep</x:v>
      </x:c>
      <x:c r="H92" s="10" t="str">
        <x:v>van_ban</x:v>
      </x:c>
      <x:c r="I92" s="10" t="str">
        <x:v>Nhận biết</x:v>
      </x:c>
      <x:c r="J92" s="10" t="str">
        <x:v>SGK_KHTN_7_CTST_testset.csv</x:v>
      </x:c>
      <x:c r="K92" s="9" t="str">
        <x:v>Yêu cầu nhớ, nêu, kể tên, nhận diện hoặc lấy lại thông tin trực tiếp.</x:v>
      </x:c>
      <x:c r="L92" s="9" t="str">
        <x:v>Cần giáo viên xác nhận</x:v>
      </x:c>
      <x:c r="M92" s="9" t="str"/>
    </x:row>
    <x:row r="93">
      <x:c r="A93" s="8" t="n">
        <x:v>92</x:v>
      </x:c>
      <x:c r="B93" s="9" t="str">
        <x:v>Khái niệm hô hấp tế bào được nêu như thế nào?</x:v>
      </x:c>
      <x:c r="C93" s="9" t="str">
        <x:v>Hô hấp tế bào là quá trình phân giải các chất hữu cơ (chủ yếu là đường glucose) diễn ra bên trong tế bào, đồng thời giải phóng năng lượng để cung cấp cho các hoạt động sống của cơ thể.</x:v>
      </x:c>
      <x:c r="D93" s="10" t="str">
        <x:v>SGK_KHTN_7_CTST</x:v>
      </x:c>
      <x:c r="E93" s="8" t="n">
        <x:v>116</x:v>
      </x:c>
      <x:c r="F93" s="10" t="str">
        <x:v>sinh</x:v>
      </x:c>
      <x:c r="G93" s="10" t="str">
        <x:v>truc_tiep</x:v>
      </x:c>
      <x:c r="H93" s="10" t="str">
        <x:v>van_ban</x:v>
      </x:c>
      <x:c r="I93" s="10" t="str">
        <x:v>Nhận biết</x:v>
      </x:c>
      <x:c r="J93" s="10" t="str">
        <x:v>SGK_KHTN_7_CTST_testset.csv</x:v>
      </x:c>
      <x:c r="K93" s="9" t="str">
        <x:v>Yêu cầu nhớ, nêu, kể tên, nhận diện hoặc lấy lại thông tin trực tiếp.</x:v>
      </x:c>
      <x:c r="L93" s="9" t="str">
        <x:v>Cần giáo viên xác nhận</x:v>
      </x:c>
      <x:c r="M93" s="9" t="str"/>
    </x:row>
    <x:row r="94">
      <x:c r="A94" s="8" t="n">
        <x:v>93</x:v>
      </x:c>
      <x:c r="B94" s="9" t="str">
        <x:v>Liên kết cộng hoá trị được hình thành bằng cách nào?</x:v>
      </x:c>
      <x:c r="C94" s="9" t="str">
        <x:v>Được hình thành bằng sự dùng chung electron giữa các nguyên tử.</x:v>
      </x:c>
      <x:c r="D94" s="10" t="str">
        <x:v>SGK_KHTN_7_CTST</x:v>
      </x:c>
      <x:c r="E94" s="8" t="n">
        <x:v>184</x:v>
      </x:c>
      <x:c r="F94" s="10" t="str">
        <x:v>khac</x:v>
      </x:c>
      <x:c r="G94" s="10" t="str">
        <x:v>truc_tiep</x:v>
      </x:c>
      <x:c r="H94" s="10" t="str">
        <x:v>van_ban</x:v>
      </x:c>
      <x:c r="I94" s="10" t="str">
        <x:v>Nhận biết</x:v>
      </x:c>
      <x:c r="J94" s="10" t="str">
        <x:v>SGK_KHTN_7_CTST_testset.csv</x:v>
      </x:c>
      <x:c r="K94" s="9" t="str">
        <x:v>Yêu cầu nhớ, nêu, kể tên, nhận diện hoặc lấy lại thông tin trực tiếp.</x:v>
      </x:c>
      <x:c r="L94" s="9" t="str">
        <x:v>Cần giáo viên xác nhận</x:v>
      </x:c>
      <x:c r="M94" s="9" t="str"/>
    </x:row>
    <x:row r="95">
      <x:c r="A95" s="8" t="n">
        <x:v>94</x:v>
      </x:c>
      <x:c r="B95" s="9" t="str">
        <x:v>So sánh hai thuật ngữ phản xạ và phản xạ khuếch tán trong sách giáo khoa Khoa học tự nhiên THCS: hai hiện tượng này khác nhau ở đặc điểm nào của bề mặt mà ánh sáng chiếu tới?</x:v>
      </x:c>
      <x:c r="C95" s="9" t="str">
        <x:v>Phản xạ xảy ra khi ánh sáng chiếu tới bề mặt phẳng, nhẵn bóng; còn phản xạ khuếch tán xảy ra khi ánh sáng chiếu tới bề mặt phẳng thô ráp, gồ ghề.</x:v>
      </x:c>
      <x:c r="D95" s="10" t="str">
        <x:v>SGK_KHTN_7_CTST</x:v>
      </x:c>
      <x:c r="E95" s="8" t="n">
        <x:v>185</x:v>
      </x:c>
      <x:c r="F95" s="10" t="str">
        <x:v>khac</x:v>
      </x:c>
      <x:c r="G95" s="10" t="str">
        <x:v>suy_luan</x:v>
      </x:c>
      <x:c r="H95" s="10" t="str">
        <x:v>van_ban</x:v>
      </x:c>
      <x:c r="I95" s="10" t="str">
        <x:v>Thông hiểu</x:v>
      </x:c>
      <x:c r="J95" s="10" t="str">
        <x:v>SGK_KHTN_7_CTST_testset.csv</x:v>
      </x:c>
      <x:c r="K95" s="9" t="str">
        <x:v>Yêu cầu mô tả, giải thích, so sánh hoặc diễn giải ý nghĩa/mối quan hệ.</x:v>
      </x:c>
      <x:c r="L95" s="9" t="str">
        <x:v>Cần giáo viên xác nhận</x:v>
      </x:c>
      <x:c r="M95" s="9" t="str"/>
    </x:row>
    <x:row r="96">
      <x:c r="A96" s="8" t="n">
        <x:v>95</x:v>
      </x:c>
      <x:c r="B96" s="9" t="str">
        <x:v>Quan sát Hình 1.3, hãy cho biết các đồ thị tín hiệu âm được vẽ trong hình giống và khác nhau như thế nào?</x:v>
      </x:c>
      <x:c r="C96" s="9" t="str">
        <x:v>Chúng đều là các đường cong dạng sóng biến đổi theo thời gian, nhưng các đồ thị không giống hệt nhau mà có dạng khác nhau.</x:v>
      </x:c>
      <x:c r="D96" s="10" t="str">
        <x:v>SGK_KHTN_7_CTST</x:v>
      </x:c>
      <x:c r="E96" s="8" t="n">
        <x:v>11</x:v>
      </x:c>
      <x:c r="F96" s="10" t="str"/>
      <x:c r="G96" s="10" t="str">
        <x:v>truc_tiep</x:v>
      </x:c>
      <x:c r="H96" s="10" t="str">
        <x:v>hinh</x:v>
      </x:c>
      <x:c r="I96" s="10" t="str">
        <x:v>Thông hiểu</x:v>
      </x:c>
      <x:c r="J96" s="10" t="str">
        <x:v>SGK_KHTN_7_CTST_testset.csv</x:v>
      </x:c>
      <x:c r="K96" s="9" t="str">
        <x:v>Yêu cầu mô tả, giải thích, so sánh hoặc diễn giải ý nghĩa/mối quan hệ.</x:v>
      </x:c>
      <x:c r="L96" s="9" t="str">
        <x:v>Cần giáo viên xác nhận</x:v>
      </x:c>
      <x:c r="M96" s="9" t="str"/>
    </x:row>
    <x:row r="97">
      <x:c r="A97" s="8" t="n">
        <x:v>96</x:v>
      </x:c>
      <x:c r="B97" s="9" t="str">
        <x:v>Quan sát Hình 1.5: đồng hồ đo thời gian hiện số được trình bày qua những góc nhìn nào? Hãy kể tên.</x:v>
      </x:c>
      <x:c r="C97" s="9" t="str">
        <x:v>Hai góc nhìn: a) Mặt trước và b) Mặt sau của đồng hồ đo thời gian hiện số.</x:v>
      </x:c>
      <x:c r="D97" s="10" t="str">
        <x:v>SGK_KHTN_7_CTST</x:v>
      </x:c>
      <x:c r="E97" s="8" t="n">
        <x:v>12</x:v>
      </x:c>
      <x:c r="F97" s="10" t="str"/>
      <x:c r="G97" s="10" t="str">
        <x:v>truc_tiep</x:v>
      </x:c>
      <x:c r="H97" s="10" t="str">
        <x:v>hinh</x:v>
      </x:c>
      <x:c r="I97" s="10" t="str">
        <x:v>Nhận biết</x:v>
      </x:c>
      <x:c r="J97" s="10" t="str">
        <x:v>SGK_KHTN_7_CTST_testset.csv</x:v>
      </x:c>
      <x:c r="K97" s="9" t="str">
        <x:v>Yêu cầu nhớ, nêu, kể tên, nhận diện hoặc lấy lại thông tin trực tiếp.</x:v>
      </x:c>
      <x:c r="L97" s="9" t="str">
        <x:v>Cần giáo viên xác nhận</x:v>
      </x:c>
      <x:c r="M97" s="9" t="str"/>
    </x:row>
    <x:row r="98">
      <x:c r="A98" s="8" t="n">
        <x:v>97</x:v>
      </x:c>
      <x:c r="B98" s="9" t="str">
        <x:v>Quan sát Hình 2.1, hãy cho biết trong các vật thể được nêu kèm kích thước, vật thể nào có kích thước lớn nhất?</x:v>
      </x:c>
      <x:c r="C98" s="9" t="str">
        <x:v>Ruột bút chì, với kích thước 0,5 mm (lớn hơn hạt bụi trong không khí, tế bào máu và vi khuẩn).</x:v>
      </x:c>
      <x:c r="D98" s="10" t="str">
        <x:v>SGK_KHTN_7_CTST</x:v>
      </x:c>
      <x:c r="E98" s="8" t="n">
        <x:v>14</x:v>
      </x:c>
      <x:c r="F98" s="10" t="str"/>
      <x:c r="G98" s="10" t="str">
        <x:v>truc_tiep</x:v>
      </x:c>
      <x:c r="H98" s="10" t="str">
        <x:v>hinh</x:v>
      </x:c>
      <x:c r="I98" s="10" t="str">
        <x:v>Nhận biết</x:v>
      </x:c>
      <x:c r="J98" s="10" t="str">
        <x:v>SGK_KHTN_7_CTST_testset.csv</x:v>
      </x:c>
      <x:c r="K98" s="9" t="str">
        <x:v>Yêu cầu nhớ, nêu, kể tên, nhận diện hoặc lấy lại thông tin trực tiếp.</x:v>
      </x:c>
      <x:c r="L98" s="9" t="str">
        <x:v>Cần giáo viên xác nhận</x:v>
      </x:c>
      <x:c r="M98" s="9" t="str"/>
    </x:row>
    <x:row r="99">
      <x:c r="A99" s="8" t="n">
        <x:v>98</x:v>
      </x:c>
      <x:c r="B99" s="9" t="str">
        <x:v>Quan sát Hình 1.1, hãy cho biết hình ảnh này minh họa hiện tượng tự nhiên nào?</x:v>
      </x:c>
      <x:c r="C99" s="9" t="str">
        <x:v>Hiện tượng mưa (mưa tự nhiên).</x:v>
      </x:c>
      <x:c r="D99" s="10" t="str">
        <x:v>SGK_KHTN_7_CTST</x:v>
      </x:c>
      <x:c r="E99" s="8" t="n">
        <x:v>9</x:v>
      </x:c>
      <x:c r="F99" s="10" t="str"/>
      <x:c r="G99" s="10" t="str">
        <x:v>truc_tiep</x:v>
      </x:c>
      <x:c r="H99" s="10" t="str">
        <x:v>hinh</x:v>
      </x:c>
      <x:c r="I99" s="10" t="str">
        <x:v>Nhận biết</x:v>
      </x:c>
      <x:c r="J99" s="10" t="str">
        <x:v>SGK_KHTN_7_CTST_testset.csv</x:v>
      </x:c>
      <x:c r="K99" s="9" t="str">
        <x:v>Yêu cầu nhớ, nêu, kể tên, nhận diện hoặc lấy lại thông tin trực tiếp.</x:v>
      </x:c>
      <x:c r="L99" s="9" t="str">
        <x:v>Cần giáo viên xác nhận</x:v>
      </x:c>
      <x:c r="M99" s="9" t="str"/>
    </x:row>
    <x:row r="100">
      <x:c r="A100" s="8" t="n">
        <x:v>99</x:v>
      </x:c>
      <x:c r="B100" s="9" t="str">
        <x:v>Vì sao khi gõ vào âm thoa, ta nghe được âm phát ra từ âm thoa?</x:v>
      </x:c>
      <x:c r="C100" s="9" t="str">
        <x:v>Vì âm thoa là nguồn âm dao động; dao động của nó lan truyền thành sóng âm trong không khí tới tai ta, làm màng nhĩ dao động nên ta nghe thấy âm.</x:v>
      </x:c>
      <x:c r="D100" s="10" t="str">
        <x:v>SGK_KHTN_7_KNTT</x:v>
      </x:c>
      <x:c r="E100" s="8" t="n">
        <x:v>61</x:v>
      </x:c>
      <x:c r="F100" s="10" t="str">
        <x:v>ly</x:v>
      </x:c>
      <x:c r="G100" s="10" t="str">
        <x:v>suy_luan</x:v>
      </x:c>
      <x:c r="H100" s="10" t="str">
        <x:v>van_ban</x:v>
      </x:c>
      <x:c r="I100" s="10" t="str">
        <x:v>Thông hiểu</x:v>
      </x:c>
      <x:c r="J100" s="10" t="str">
        <x:v>SGK_KHTN_7_KNTT_testset.csv</x:v>
      </x:c>
      <x:c r="K100" s="9" t="str">
        <x:v>Yêu cầu mô tả, giải thích, so sánh hoặc diễn giải ý nghĩa/mối quan hệ.</x:v>
      </x:c>
      <x:c r="L100" s="9" t="str">
        <x:v>Cần giáo viên xác nhận</x:v>
      </x:c>
      <x:c r="M100" s="9" t="str"/>
    </x:row>
    <x:row r="101">
      <x:c r="A101" s="8" t="n">
        <x:v>100</x:v>
      </x:c>
      <x:c r="B101" s="9" t="str">
        <x:v>Hạt neutron mang điện tích như thế nào?</x:v>
      </x:c>
      <x:c r="C101" s="9" t="str">
        <x:v>Hạt neutron không mang điện.</x:v>
      </x:c>
      <x:c r="D101" s="10" t="str">
        <x:v>SGK_KHTN_7_KNTT</x:v>
      </x:c>
      <x:c r="E101" s="8" t="n">
        <x:v>16</x:v>
      </x:c>
      <x:c r="F101" s="10" t="str">
        <x:v>hoa</x:v>
      </x:c>
      <x:c r="G101" s="10" t="str">
        <x:v>truc_tiep</x:v>
      </x:c>
      <x:c r="H101" s="10" t="str">
        <x:v>van_ban</x:v>
      </x:c>
      <x:c r="I101" s="10" t="str">
        <x:v>Nhận biết</x:v>
      </x:c>
      <x:c r="J101" s="10" t="str">
        <x:v>SGK_KHTN_7_KNTT_testset.csv</x:v>
      </x:c>
      <x:c r="K101" s="9" t="str">
        <x:v>Yêu cầu nhớ, nêu, kể tên, nhận diện hoặc lấy lại thông tin trực tiếp.</x:v>
      </x:c>
      <x:c r="L101" s="9" t="str">
        <x:v>Cần giáo viên xác nhận</x:v>
      </x:c>
      <x:c r="M101" s="9" t="str"/>
    </x:row>
    <x:row r="102">
      <x:c r="A102" s="8" t="n">
        <x:v>101</x:v>
      </x:c>
      <x:c r="B102" s="9" t="str">
        <x:v>Dựa vào đồ thị quãng đường - thời gian, khi nào ta kết luận xe ô tô không chuyển động?</x:v>
      </x:c>
      <x:c r="C102" s="9" t="str">
        <x:v>Khi đồ thị là đoạn thẳng song song với trục thời gian.</x:v>
      </x:c>
      <x:c r="D102" s="10" t="str">
        <x:v>SGK_KHTN_7_KNTT</x:v>
      </x:c>
      <x:c r="E102" s="8" t="n">
        <x:v>54</x:v>
      </x:c>
      <x:c r="F102" s="10" t="str">
        <x:v>ly</x:v>
      </x:c>
      <x:c r="G102" s="10" t="str">
        <x:v>truc_tiep</x:v>
      </x:c>
      <x:c r="H102" s="10" t="str">
        <x:v>van_ban</x:v>
      </x:c>
      <x:c r="I102" s="10" t="str">
        <x:v>Thông hiểu</x:v>
      </x:c>
      <x:c r="J102" s="10" t="str">
        <x:v>SGK_KHTN_7_KNTT_testset.csv</x:v>
      </x:c>
      <x:c r="K102" s="9" t="str">
        <x:v>Yêu cầu mô tả, giải thích, so sánh hoặc diễn giải ý nghĩa/mối quan hệ.</x:v>
      </x:c>
      <x:c r="L102" s="9" t="str">
        <x:v>Cần giáo viên xác nhận</x:v>
      </x:c>
      <x:c r="M102" s="9" t="str"/>
    </x:row>
    <x:row r="103">
      <x:c r="A103" s="8" t="n">
        <x:v>102</x:v>
      </x:c>
      <x:c r="B103" s="9" t="str">
        <x:v>Hoá trị của một nhóm nguyên tử được xác định như thế nào?</x:v>
      </x:c>
      <x:c r="C103" s="9" t="str">
        <x:v>Được xác định tương tự như cách xác định hoá trị của nguyên tố.</x:v>
      </x:c>
      <x:c r="D103" s="10" t="str">
        <x:v>SGK_KHTN_7_KNTT</x:v>
      </x:c>
      <x:c r="E103" s="8" t="n">
        <x:v>43</x:v>
      </x:c>
      <x:c r="F103" s="10" t="str">
        <x:v>hoa</x:v>
      </x:c>
      <x:c r="G103" s="10" t="str">
        <x:v>truc_tiep</x:v>
      </x:c>
      <x:c r="H103" s="10" t="str">
        <x:v>van_ban</x:v>
      </x:c>
      <x:c r="I103" s="10" t="str">
        <x:v>Nhận biết</x:v>
      </x:c>
      <x:c r="J103" s="10" t="str">
        <x:v>SGK_KHTN_7_KNTT_testset.csv</x:v>
      </x:c>
      <x:c r="K103" s="9" t="str">
        <x:v>Yêu cầu nhớ, nêu, kể tên, nhận diện hoặc lấy lại thông tin trực tiếp.</x:v>
      </x:c>
      <x:c r="L103" s="9" t="str">
        <x:v>Cần giáo viên xác nhận</x:v>
      </x:c>
      <x:c r="M103" s="9" t="str"/>
    </x:row>
    <x:row r="104">
      <x:c r="A104" s="8" t="n">
        <x:v>103</x:v>
      </x:c>
      <x:c r="B104" s="9" t="str">
        <x:v>Vào đầu thế kỉ XIX, nhà khoa học nào đã nhắc lại khái niệm nguyên tử, và ông dựa trên nhận xét gì khi tiến hành các thí nghiệm hoá học?</x:v>
      </x:c>
      <x:c r="C104" s="9" t="str">
        <x:v>Đan-tơn (Dalton); ông nhận thấy các chất tác dụng vừa đủ với nhau theo các lượng xác định, chứng tỏ có các đơn vị chất tối thiểu (được gọi là nguyên tử) để chúng kết hợp vừa đủ với nhau.</x:v>
      </x:c>
      <x:c r="D104" s="10" t="str">
        <x:v>SGK_KHTN_7_KNTT</x:v>
      </x:c>
      <x:c r="E104" s="8" t="n">
        <x:v>14</x:v>
      </x:c>
      <x:c r="F104" s="10" t="str">
        <x:v>hoa</x:v>
      </x:c>
      <x:c r="G104" s="10" t="str">
        <x:v>suy_luan</x:v>
      </x:c>
      <x:c r="H104" s="10" t="str">
        <x:v>van_ban</x:v>
      </x:c>
      <x:c r="I104" s="10" t="str">
        <x:v>Thông hiểu</x:v>
      </x:c>
      <x:c r="J104" s="10" t="str">
        <x:v>SGK_KHTN_7_KNTT_testset.csv</x:v>
      </x:c>
      <x:c r="K104" s="9" t="str">
        <x:v>Yêu cầu mô tả, giải thích, so sánh hoặc diễn giải ý nghĩa/mối quan hệ.</x:v>
      </x:c>
      <x:c r="L104" s="9" t="str">
        <x:v>Cần giáo viên xác nhận</x:v>
      </x:c>
      <x:c r="M104" s="9" t="str"/>
    </x:row>
    <x:row r="105">
      <x:c r="A105" s="8" t="n">
        <x:v>104</x:v>
      </x:c>
      <x:c r="B105" s="9" t="str">
        <x:v>Các chất kích thích sinh trưởng nhân tạo được sử dụng trong trồng trọt với những mục đích gì?</x:v>
      </x:c>
      <x:c r="C105" s="9" t="str">
        <x:v>Kích thích cây ra rễ, ra hoa, thúc hạt và củ nảy mầm, kích thích tăng chiều cao cây, phát triển lá, tạo quả.</x:v>
      </x:c>
      <x:c r="D105" s="10" t="str">
        <x:v>SGK_KHTN_7_KNTT</x:v>
      </x:c>
      <x:c r="E105" s="8" t="n">
        <x:v>153</x:v>
      </x:c>
      <x:c r="F105" s="10" t="str">
        <x:v>sinh</x:v>
      </x:c>
      <x:c r="G105" s="10" t="str">
        <x:v>truc_tiep</x:v>
      </x:c>
      <x:c r="H105" s="10" t="str">
        <x:v>van_ban</x:v>
      </x:c>
      <x:c r="I105" s="10" t="str">
        <x:v>Thông hiểu</x:v>
      </x:c>
      <x:c r="J105" s="10" t="str">
        <x:v>SGK_KHTN_7_KNTT_testset.csv</x:v>
      </x:c>
      <x:c r="K105" s="9" t="str">
        <x:v>Yêu cầu mô tả, giải thích, so sánh hoặc diễn giải ý nghĩa/mối quan hệ.</x:v>
      </x:c>
      <x:c r="L105" s="9" t="str">
        <x:v>Cần giáo viên xác nhận</x:v>
      </x:c>
      <x:c r="M105" s="9" t="str"/>
    </x:row>
    <x:row r="106">
      <x:c r="A106" s="8" t="n">
        <x:v>105</x:v>
      </x:c>
      <x:c r="B106" s="9" t="str">
        <x:v>Chất dinh dưỡng có vai trò gì đối với sinh vật, và khi cơ thể bị thiếu hay thừa chất dinh dưỡng thì hậu quả là gì?</x:v>
      </x:c>
      <x:c r="C106" s="9" t="str">
        <x:v>Chất dinh dưỡng cung cấp nguyên liệu và năng lượng cho các quá trình sống của cơ thể; thiếu hay thừa chất dinh dưỡng đều làm cho cơ thể sinh vật sinh trưởng và phát triển không bình thường.</x:v>
      </x:c>
      <x:c r="D106" s="10" t="str">
        <x:v>SGK_KHTN_7_KNTT</x:v>
      </x:c>
      <x:c r="E106" s="8" t="n">
        <x:v>123</x:v>
      </x:c>
      <x:c r="F106" s="10" t="str">
        <x:v>sinh</x:v>
      </x:c>
      <x:c r="G106" s="10" t="str">
        <x:v>truc_tiep</x:v>
      </x:c>
      <x:c r="H106" s="10" t="str">
        <x:v>van_ban</x:v>
      </x:c>
      <x:c r="I106" s="10" t="str">
        <x:v>Thông hiểu</x:v>
      </x:c>
      <x:c r="J106" s="10" t="str">
        <x:v>SGK_KHTN_7_KNTT_testset.csv</x:v>
      </x:c>
      <x:c r="K106" s="9" t="str">
        <x:v>Yêu cầu mô tả, giải thích, so sánh hoặc diễn giải ý nghĩa/mối quan hệ.</x:v>
      </x:c>
      <x:c r="L106" s="9" t="str">
        <x:v>Cần giáo viên xác nhận</x:v>
      </x:c>
      <x:c r="M106" s="9" t="str"/>
    </x:row>
    <x:row r="107">
      <x:c r="A107" s="8" t="n">
        <x:v>106</x:v>
      </x:c>
      <x:c r="B107" s="9" t="str">
        <x:v>Môi trường truyền được sóng âm được gọi là gì?</x:v>
      </x:c>
      <x:c r="C107" s="9" t="str">
        <x:v>Môi trường truyền âm</x:v>
      </x:c>
      <x:c r="D107" s="10" t="str">
        <x:v>SGK_KHTN_7_KNTT</x:v>
      </x:c>
      <x:c r="E107" s="8" t="n">
        <x:v>62</x:v>
      </x:c>
      <x:c r="F107" s="10" t="str">
        <x:v>ly</x:v>
      </x:c>
      <x:c r="G107" s="10" t="str">
        <x:v>truc_tiep</x:v>
      </x:c>
      <x:c r="H107" s="10" t="str">
        <x:v>van_ban</x:v>
      </x:c>
      <x:c r="I107" s="10" t="str">
        <x:v>Nhận biết</x:v>
      </x:c>
      <x:c r="J107" s="10" t="str">
        <x:v>SGK_KHTN_7_KNTT_testset.csv</x:v>
      </x:c>
      <x:c r="K107" s="9" t="str">
        <x:v>Yêu cầu nhớ, nêu, kể tên, nhận diện hoặc lấy lại thông tin trực tiếp.</x:v>
      </x:c>
      <x:c r="L107" s="9" t="str">
        <x:v>Cần giáo viên xác nhận</x:v>
      </x:c>
      <x:c r="M107" s="9" t="str"/>
    </x:row>
    <x:row r="108">
      <x:c r="A108" s="8" t="n">
        <x:v>107</x:v>
      </x:c>
      <x:c r="B108" s="9" t="str">
        <x:v>Quan sát sơ đồ sự hình thành liên kết ion trong phân tử magnesium oxide (MgO), cho biết nguyên tử magnesium (Mg) đã nhường hay nhận bao nhiêu electron để tạo thành ion Mg2+?</x:v>
      </x:c>
      <x:c r="C108" s="9" t="str">
        <x:v>Nguyên tử Mg đã nhường 2 electron (vì ion tạo thành là Mg2+ mang điện tích dương 2+).</x:v>
      </x:c>
      <x:c r="D108" s="10" t="str">
        <x:v>SGK_KHTN_7_KNTT</x:v>
      </x:c>
      <x:c r="E108" s="8" t="n">
        <x:v>37</x:v>
      </x:c>
      <x:c r="F108" s="10" t="str">
        <x:v>hoa</x:v>
      </x:c>
      <x:c r="G108" s="10" t="str">
        <x:v>suy_luan</x:v>
      </x:c>
      <x:c r="H108" s="10" t="str">
        <x:v>van_ban</x:v>
      </x:c>
      <x:c r="I108" s="10" t="str">
        <x:v>Vận dụng</x:v>
      </x:c>
      <x:c r="J108" s="10" t="str">
        <x:v>SGK_KHTN_7_KNTT_testset.csv</x:v>
      </x:c>
      <x:c r="K108" s="9" t="str">
        <x:v>Yêu cầu áp dụng kiến thức, quy tắc hoặc phép tính vào tình huống/suy luận cụ thể.</x:v>
      </x:c>
      <x:c r="L108" s="9" t="str">
        <x:v>Cần giáo viên xác nhận</x:v>
      </x:c>
      <x:c r="M108" s="9" t="str"/>
    </x:row>
    <x:row r="109">
      <x:c r="A109" s="8" t="n">
        <x:v>108</x:v>
      </x:c>
      <x:c r="B109" s="9" t="str">
        <x:v>Khi cho một đầu của lò xo dao động thì dọc theo dây lò xo xuất hiện hiện tượng gì?</x:v>
      </x:c>
      <x:c r="C109" s="9" t="str">
        <x:v>Xuất hiện những đoạn nén và dãn liên tiếp, tạo thành sóng truyền trên lò xo.</x:v>
      </x:c>
      <x:c r="D109" s="10" t="str">
        <x:v>SGK_KHTN_7_KNTT</x:v>
      </x:c>
      <x:c r="E109" s="8" t="n">
        <x:v>61</x:v>
      </x:c>
      <x:c r="F109" s="10" t="str">
        <x:v>ly</x:v>
      </x:c>
      <x:c r="G109" s="10" t="str">
        <x:v>truc_tiep</x:v>
      </x:c>
      <x:c r="H109" s="10" t="str">
        <x:v>van_ban</x:v>
      </x:c>
      <x:c r="I109" s="10" t="str">
        <x:v>Nhận biết</x:v>
      </x:c>
      <x:c r="J109" s="10" t="str">
        <x:v>SGK_KHTN_7_KNTT_testset.csv</x:v>
      </x:c>
      <x:c r="K109" s="9" t="str">
        <x:v>Yêu cầu nhớ, nêu, kể tên, nhận diện hoặc lấy lại thông tin trực tiếp.</x:v>
      </x:c>
      <x:c r="L109" s="9" t="str">
        <x:v>Cần giáo viên xác nhận</x:v>
      </x:c>
      <x:c r="M109" s="9" t="str"/>
    </x:row>
    <x:row r="110">
      <x:c r="A110" s="8" t="n">
        <x:v>109</x:v>
      </x:c>
      <x:c r="B110" s="9" t="str">
        <x:v>Hạt nhân nguyên tử được tạo thành từ những loại hạt nào?</x:v>
      </x:c>
      <x:c r="C110" s="9" t="str">
        <x:v>Hạt nhân nguyên tử tạo thành từ các hạt proton và neutron.</x:v>
      </x:c>
      <x:c r="D110" s="10" t="str">
        <x:v>SGK_KHTN_7_KNTT</x:v>
      </x:c>
      <x:c r="E110" s="8" t="n">
        <x:v>16</x:v>
      </x:c>
      <x:c r="F110" s="10" t="str">
        <x:v>hoa</x:v>
      </x:c>
      <x:c r="G110" s="10" t="str">
        <x:v>truc_tiep</x:v>
      </x:c>
      <x:c r="H110" s="10" t="str">
        <x:v>van_ban</x:v>
      </x:c>
      <x:c r="I110" s="10" t="str">
        <x:v>Nhận biết</x:v>
      </x:c>
      <x:c r="J110" s="10" t="str">
        <x:v>SGK_KHTN_7_KNTT_testset.csv</x:v>
      </x:c>
      <x:c r="K110" s="9" t="str">
        <x:v>Yêu cầu nhớ, nêu, kể tên, nhận diện hoặc lấy lại thông tin trực tiếp.</x:v>
      </x:c>
      <x:c r="L110" s="9" t="str">
        <x:v>Cần giáo viên xác nhận</x:v>
      </x:c>
      <x:c r="M110" s="9" t="str"/>
    </x:row>
    <x:row r="111">
      <x:c r="A111" s="8" t="n">
        <x:v>110</x:v>
      </x:c>
      <x:c r="B111" s="9" t="str">
        <x:v>Khi vẽ đồ thị quãng đường - thời gian, trục thẳng đứng (trục tung) Os được dùng để biểu diễn đại lượng nào?</x:v>
      </x:c>
      <x:c r="C111" s="9" t="str">
        <x:v>Biểu diễn các độ lớn của quãng đường đi được theo một tỉ xích thích hợp.</x:v>
      </x:c>
      <x:c r="D111" s="10" t="str">
        <x:v>SGK_KHTN_7_KNTT</x:v>
      </x:c>
      <x:c r="E111" s="8" t="n">
        <x:v>54</x:v>
      </x:c>
      <x:c r="F111" s="10" t="str">
        <x:v>ly</x:v>
      </x:c>
      <x:c r="G111" s="10" t="str">
        <x:v>truc_tiep</x:v>
      </x:c>
      <x:c r="H111" s="10" t="str">
        <x:v>van_ban</x:v>
      </x:c>
      <x:c r="I111" s="10" t="str">
        <x:v>Nhận biết</x:v>
      </x:c>
      <x:c r="J111" s="10" t="str">
        <x:v>SGK_KHTN_7_KNTT_testset.csv</x:v>
      </x:c>
      <x:c r="K111" s="9" t="str">
        <x:v>Yêu cầu nhớ, nêu, kể tên, nhận diện hoặc lấy lại thông tin trực tiếp.</x:v>
      </x:c>
      <x:c r="L111" s="9" t="str">
        <x:v>Cần giáo viên xác nhận</x:v>
      </x:c>
      <x:c r="M111" s="9" t="str"/>
    </x:row>
    <x:row r="112">
      <x:c r="A112" s="8" t="n">
        <x:v>111</x:v>
      </x:c>
      <x:c r="B112" s="9" t="str">
        <x:v>Dựa vào quy tắc hoá trị và Bảng 7.2 về hoá trị thường gặp của một số nguyên tố hoá học, hãy cho biết công thức hoá học của potassium oxide (hợp chất của kali và oxygen) là KO hay K2O?</x:v>
      </x:c>
      <x:c r="C112" s="9" t="str">
        <x:v>K2O (kali có hoá trị I, oxygen có hoá trị II).</x:v>
      </x:c>
      <x:c r="D112" s="10" t="str">
        <x:v>SGK_KHTN_7_KNTT</x:v>
      </x:c>
      <x:c r="E112" s="8" t="n">
        <x:v>43</x:v>
      </x:c>
      <x:c r="F112" s="10" t="str">
        <x:v>hoa</x:v>
      </x:c>
      <x:c r="G112" s="10" t="str">
        <x:v>suy_luan</x:v>
      </x:c>
      <x:c r="H112" s="10" t="str">
        <x:v>van_ban</x:v>
      </x:c>
      <x:c r="I112" s="10" t="str">
        <x:v>Vận dụng</x:v>
      </x:c>
      <x:c r="J112" s="10" t="str">
        <x:v>SGK_KHTN_7_KNTT_testset.csv</x:v>
      </x:c>
      <x:c r="K112" s="9" t="str">
        <x:v>Yêu cầu áp dụng kiến thức, quy tắc hoặc phép tính vào tình huống/suy luận cụ thể.</x:v>
      </x:c>
      <x:c r="L112" s="9" t="str">
        <x:v>Cần giáo viên xác nhận</x:v>
      </x:c>
      <x:c r="M112" s="9" t="str"/>
    </x:row>
    <x:row r="113">
      <x:c r="A113" s="8" t="n">
        <x:v>112</x:v>
      </x:c>
      <x:c r="B113" s="9" t="str">
        <x:v>Khởi nguồn của quan niệm nguyên tử xuất phát từ việc gì khi con người chia nhỏ một vật?</x:v>
      </x:c>
      <x:c r="C113" s="9" t="str">
        <x:v>Việc chia nhỏ một vật sẽ đến một giới hạn "không thể phân chia được".</x:v>
      </x:c>
      <x:c r="D113" s="10" t="str">
        <x:v>SGK_KHTN_7_KNTT</x:v>
      </x:c>
      <x:c r="E113" s="8" t="n">
        <x:v>14</x:v>
      </x:c>
      <x:c r="F113" s="10" t="str">
        <x:v>hoa</x:v>
      </x:c>
      <x:c r="G113" s="10" t="str">
        <x:v>truc_tiep</x:v>
      </x:c>
      <x:c r="H113" s="10" t="str">
        <x:v>van_ban</x:v>
      </x:c>
      <x:c r="I113" s="10" t="str">
        <x:v>Nhận biết</x:v>
      </x:c>
      <x:c r="J113" s="10" t="str">
        <x:v>SGK_KHTN_7_KNTT_testset.csv</x:v>
      </x:c>
      <x:c r="K113" s="9" t="str">
        <x:v>Yêu cầu nhớ, nêu, kể tên, nhận diện hoặc lấy lại thông tin trực tiếp.</x:v>
      </x:c>
      <x:c r="L113" s="9" t="str">
        <x:v>Cần giáo viên xác nhận</x:v>
      </x:c>
      <x:c r="M113" s="9" t="str"/>
    </x:row>
    <x:row r="114">
      <x:c r="A114" s="8" t="n">
        <x:v>113</x:v>
      </x:c>
      <x:c r="B114" s="9" t="str">
        <x:v>Trong trồng trọt, con người đã sử dụng những biện pháp nào để điều khiển sinh trưởng và phát triển của cây trồng bằng các nhân tố bên ngoài?</x:v>
      </x:c>
      <x:c r="C114" s="9" t="str">
        <x:v>Chiếu sáng nhân tạo, trồng cây trong nhà kính, bón phân, tưới nước hợp lí, thu hoạch đúng thời điểm,... nhằm thúc đẩy sinh trưởng và phát triển, tăng năng suất cây trồng.</x:v>
      </x:c>
      <x:c r="D114" s="10" t="str">
        <x:v>SGK_KHTN_7_KNTT</x:v>
      </x:c>
      <x:c r="E114" s="8" t="n">
        <x:v>153</x:v>
      </x:c>
      <x:c r="F114" s="10" t="str">
        <x:v>sinh</x:v>
      </x:c>
      <x:c r="G114" s="10" t="str">
        <x:v>truc_tiep</x:v>
      </x:c>
      <x:c r="H114" s="10" t="str">
        <x:v>van_ban</x:v>
      </x:c>
      <x:c r="I114" s="10" t="str">
        <x:v>Thông hiểu</x:v>
      </x:c>
      <x:c r="J114" s="10" t="str">
        <x:v>SGK_KHTN_7_KNTT_testset.csv</x:v>
      </x:c>
      <x:c r="K114" s="9" t="str">
        <x:v>Yêu cầu mô tả, giải thích, so sánh hoặc diễn giải ý nghĩa/mối quan hệ.</x:v>
      </x:c>
      <x:c r="L114" s="9" t="str">
        <x:v>Cần giáo viên xác nhận</x:v>
      </x:c>
      <x:c r="M114" s="9" t="str"/>
    </x:row>
    <x:row r="115">
      <x:c r="A115" s="8" t="n">
        <x:v>114</x:v>
      </x:c>
      <x:c r="B115" s="9" t="str">
        <x:v>Trong bài học về vai trò của nước đối với sinh vật, ở người nước chiếm khoảng bao nhiêu phần trăm khối lượng cơ thể?</x:v>
      </x:c>
      <x:c r="C115" s="9" t="str">
        <x:v>Khoảng 70% khối lượng cơ thể.</x:v>
      </x:c>
      <x:c r="D115" s="10" t="str">
        <x:v>SGK_KHTN_7_KNTT</x:v>
      </x:c>
      <x:c r="E115" s="8" t="n">
        <x:v>123</x:v>
      </x:c>
      <x:c r="F115" s="10" t="str">
        <x:v>sinh</x:v>
      </x:c>
      <x:c r="G115" s="10" t="str">
        <x:v>truc_tiep</x:v>
      </x:c>
      <x:c r="H115" s="10" t="str">
        <x:v>van_ban</x:v>
      </x:c>
      <x:c r="I115" s="10" t="str">
        <x:v>Nhận biết</x:v>
      </x:c>
      <x:c r="J115" s="10" t="str">
        <x:v>SGK_KHTN_7_KNTT_testset.csv</x:v>
      </x:c>
      <x:c r="K115" s="9" t="str">
        <x:v>Yêu cầu nhớ, nêu, kể tên, nhận diện hoặc lấy lại thông tin trực tiếp.</x:v>
      </x:c>
      <x:c r="L115" s="9" t="str">
        <x:v>Cần giáo viên xác nhận</x:v>
      </x:c>
      <x:c r="M115" s="9" t="str"/>
    </x:row>
    <x:row r="116">
      <x:c r="A116" s="8" t="n">
        <x:v>115</x:v>
      </x:c>
      <x:c r="B116" s="9" t="str">
        <x:v>Quan sát Hình 1.3, hãy cho biết nguồn phát thải khí nhà kính nào chiếm tỉ lệ lớn nhất trong biểu đồ.</x:v>
      </x:c>
      <x:c r="C116" s="9" t="str">
        <x:v>Theo số liệu OCR, nhiều khả năng là "Sản xuất điện và nhiệt" (25%), nhưng cần mở hình để xác nhận vì biểu đồ có thể còn nguồn khác chiếm tỉ lệ cao hơn chưa đọc được.</x:v>
      </x:c>
      <x:c r="D116" s="10" t="str">
        <x:v>SGK_KHTN_7_KNTT</x:v>
      </x:c>
      <x:c r="E116" s="8" t="n">
        <x:v>10</x:v>
      </x:c>
      <x:c r="F116" s="10" t="str"/>
      <x:c r="G116" s="10" t="str">
        <x:v>truc_tiep</x:v>
      </x:c>
      <x:c r="H116" s="10" t="str">
        <x:v>hinh</x:v>
      </x:c>
      <x:c r="I116" s="10" t="str">
        <x:v>Nhận biết</x:v>
      </x:c>
      <x:c r="J116" s="10" t="str">
        <x:v>SGK_KHTN_7_KNTT_testset.csv</x:v>
      </x:c>
      <x:c r="K116" s="9" t="str">
        <x:v>Yêu cầu nhớ, nêu, kể tên, nhận diện hoặc lấy lại thông tin trực tiếp.</x:v>
      </x:c>
      <x:c r="L116" s="9" t="str">
        <x:v>Cần giáo viên xác nhận</x:v>
      </x:c>
      <x:c r="M116" s="9" t="str"/>
    </x:row>
    <x:row r="117">
      <x:c r="A117" s="8" t="n">
        <x:v>116</x:v>
      </x:c>
      <x:c r="B117" s="9" t="str">
        <x:v>Quan sát Hình 1.5 (mặt trước của đồng hồ đo thời gian hiện số): hãy kể tên các nút được ghi chú trên mặt trước của đồng hồ.</x:v>
      </x:c>
      <x:c r="C117" s="9" t="str">
        <x:v>Các nút: THANG ĐO, MODE và RESET.</x:v>
      </x:c>
      <x:c r="D117" s="10" t="str">
        <x:v>SGK_KHTN_7_KNTT</x:v>
      </x:c>
      <x:c r="E117" s="8" t="n">
        <x:v>11</x:v>
      </x:c>
      <x:c r="F117" s="10" t="str"/>
      <x:c r="G117" s="10" t="str">
        <x:v>truc_tiep</x:v>
      </x:c>
      <x:c r="H117" s="10" t="str">
        <x:v>hinh</x:v>
      </x:c>
      <x:c r="I117" s="10" t="str">
        <x:v>Nhận biết</x:v>
      </x:c>
      <x:c r="J117" s="10" t="str">
        <x:v>SGK_KHTN_7_KNTT_testset.csv</x:v>
      </x:c>
      <x:c r="K117" s="9" t="str">
        <x:v>Yêu cầu nhớ, nêu, kể tên, nhận diện hoặc lấy lại thông tin trực tiếp.</x:v>
      </x:c>
      <x:c r="L117" s="9" t="str">
        <x:v>Cần giáo viên xác nhận</x:v>
      </x:c>
      <x:c r="M117" s="9" t="str"/>
    </x:row>
    <x:row r="118">
      <x:c r="A118" s="8" t="n">
        <x:v>117</x:v>
      </x:c>
      <x:c r="B118" s="9" t="str">
        <x:v>Quan sát Hình 1.1a và Hình 1.1b: trong hai lần đo, miếng gỗ được đặt nằm sao cho mặt nào tiếp xúc với mặt bàn?</x:v>
      </x:c>
      <x:c r="C118" s="9" t="str">
        <x:v>Ở Hình 1.1a, miếng gỗ nằm trên mặt có kích thước 12 cm × 6 cm; ở Hình 1.1b, miếng gỗ nằm trên mặt có kích thước 12 cm × 3 cm.</x:v>
      </x:c>
      <x:c r="D118" s="10" t="str">
        <x:v>SGK_KHTN_7_KNTT</x:v>
      </x:c>
      <x:c r="E118" s="8" t="n">
        <x:v>7</x:v>
      </x:c>
      <x:c r="F118" s="10" t="str"/>
      <x:c r="G118" s="10" t="str">
        <x:v>truc_tiep</x:v>
      </x:c>
      <x:c r="H118" s="10" t="str">
        <x:v>hinh</x:v>
      </x:c>
      <x:c r="I118" s="10" t="str">
        <x:v>Nhận biết</x:v>
      </x:c>
      <x:c r="J118" s="10" t="str">
        <x:v>SGK_KHTN_7_KNTT_testset.csv</x:v>
      </x:c>
      <x:c r="K118" s="9" t="str">
        <x:v>Yêu cầu nhớ, nêu, kể tên, nhận diện hoặc lấy lại thông tin trực tiếp.</x:v>
      </x:c>
      <x:c r="L118" s="9" t="str">
        <x:v>Cần giáo viên xác nhận</x:v>
      </x:c>
      <x:c r="M118" s="9" t="str"/>
    </x:row>
    <x:row r="119">
      <x:c r="A119" s="8" t="n">
        <x:v>118</x:v>
      </x:c>
      <x:c r="B119" s="9" t="str">
        <x:v>Quan sát Hình 1.2, hãy nêu tên từng hiện tượng tự nhiên được thể hiện ở các ảnh a), b) và c).</x:v>
      </x:c>
      <x:c r="C119" s="9" t="str">
        <x:v>a) Cháy rừng; b) Hạn hán; c) Mưa to kèm theo sấm, sét.</x:v>
      </x:c>
      <x:c r="D119" s="10" t="str">
        <x:v>SGK_KHTN_7_KNTT</x:v>
      </x:c>
      <x:c r="E119" s="8" t="n">
        <x:v>8</x:v>
      </x:c>
      <x:c r="F119" s="10" t="str"/>
      <x:c r="G119" s="10" t="str">
        <x:v>truc_tiep</x:v>
      </x:c>
      <x:c r="H119" s="10" t="str">
        <x:v>hinh</x:v>
      </x:c>
      <x:c r="I119" s="10" t="str">
        <x:v>Nhận biết</x:v>
      </x:c>
      <x:c r="J119" s="10" t="str">
        <x:v>SGK_KHTN_7_KNTT_testset.csv</x:v>
      </x:c>
      <x:c r="K119" s="9" t="str">
        <x:v>Yêu cầu nhớ, nêu, kể tên, nhận diện hoặc lấy lại thông tin trực tiếp.</x:v>
      </x:c>
      <x:c r="L119" s="9" t="str">
        <x:v>Cần giáo viên xác nhận</x:v>
      </x:c>
      <x:c r="M119" s="9" t="str"/>
    </x:row>
    <x:row r="120">
      <x:c r="A120" s="8" t="n">
        <x:v>119</x:v>
      </x:c>
      <x:c r="B120" s="9" t="str">
        <x:v>Trong thí nghiệm đốt cây nến (có thành phần chính là paraffin) trên đĩa sứ, vì sao quá trình nến cháy được coi là sự biến đổi hoá học?</x:v>
      </x:c>
      <x:c r="C120" s="9" t="str">
        <x:v>Vì nến cháy trong không khí chủ yếu tạo ra khí carbon dioxide và hơi nước, tức là sinh ra những chất khác so với ban đầu.</x:v>
      </x:c>
      <x:c r="D120" s="10" t="str">
        <x:v>SGK_KHTN_8_CD</x:v>
      </x:c>
      <x:c r="E120" s="8" t="n">
        <x:v>14</x:v>
      </x:c>
      <x:c r="F120" s="10" t="str">
        <x:v>hoa</x:v>
      </x:c>
      <x:c r="G120" s="10" t="str">
        <x:v>suy_luan</x:v>
      </x:c>
      <x:c r="H120" s="10" t="str">
        <x:v>van_ban</x:v>
      </x:c>
      <x:c r="I120" s="10" t="str">
        <x:v>Thông hiểu</x:v>
      </x:c>
      <x:c r="J120" s="10" t="str">
        <x:v>SGK_KHTN_8_CD_testset.csv</x:v>
      </x:c>
      <x:c r="K120" s="9" t="str">
        <x:v>Yêu cầu mô tả, giải thích, so sánh hoặc diễn giải ý nghĩa/mối quan hệ.</x:v>
      </x:c>
      <x:c r="L120" s="9" t="str">
        <x:v>Cần giáo viên xác nhận</x:v>
      </x:c>
      <x:c r="M120" s="9" t="str"/>
    </x:row>
    <x:row r="121">
      <x:c r="A121" s="8" t="n">
        <x:v>120</x:v>
      </x:c>
      <x:c r="B121" s="9" t="str">
        <x:v>Để tiến hành thí nghiệm tìm hiểu phản ứng giữa dung dịch NaOH và dung dịch HCl có sử dụng chất chỉ thị màu, cần chuẩn bị những hoá chất nào?</x:v>
      </x:c>
      <x:c r="C121" s="9" t="str">
        <x:v>Dung dịch NaOH loãng, dung dịch HCl loãng và dung dịch phenolphthalein.</x:v>
      </x:c>
      <x:c r="D121" s="10" t="str">
        <x:v>SGK_KHTN_8_CD</x:v>
      </x:c>
      <x:c r="E121" s="8" t="n">
        <x:v>53</x:v>
      </x:c>
      <x:c r="F121" s="10" t="str">
        <x:v>hoa</x:v>
      </x:c>
      <x:c r="G121" s="10" t="str">
        <x:v>truc_tiep</x:v>
      </x:c>
      <x:c r="H121" s="10" t="str">
        <x:v>van_ban</x:v>
      </x:c>
      <x:c r="I121" s="10" t="str">
        <x:v>Nhận biết</x:v>
      </x:c>
      <x:c r="J121" s="10" t="str">
        <x:v>SGK_KHTN_8_CD_testset.csv</x:v>
      </x:c>
      <x:c r="K121" s="9" t="str">
        <x:v>Yêu cầu nhớ, nêu, kể tên, nhận diện hoặc lấy lại thông tin trực tiếp.</x:v>
      </x:c>
      <x:c r="L121" s="9" t="str">
        <x:v>Cần giáo viên xác nhận</x:v>
      </x:c>
      <x:c r="M121" s="9" t="str"/>
    </x:row>
    <x:row r="122">
      <x:c r="A122" s="8" t="n">
        <x:v>121</x:v>
      </x:c>
      <x:c r="B122" s="9" t="str">
        <x:v>Áp dụng quy luật "muối tác dụng với dung dịch base tạo thành muối mới và base mới" (tương tự phản ứng giữa CuSO4 và NaOH), hãy viết phương trình hoá học của phản ứng giữa dung dịch CuCl2 và dung dịch KOH.</x:v>
      </x:c>
      <x:c r="C122" s="9" t="str">
        <x:v>CuCl2 + 2KOH -&gt; Cu(OH)2↓ + 2KCl.</x:v>
      </x:c>
      <x:c r="D122" s="10" t="str">
        <x:v>SGK_KHTN_8_CD</x:v>
      </x:c>
      <x:c r="E122" s="8" t="n">
        <x:v>65</x:v>
      </x:c>
      <x:c r="F122" s="10" t="str">
        <x:v>hoa</x:v>
      </x:c>
      <x:c r="G122" s="10" t="str">
        <x:v>suy_luan</x:v>
      </x:c>
      <x:c r="H122" s="10" t="str">
        <x:v>van_ban</x:v>
      </x:c>
      <x:c r="I122" s="10" t="str">
        <x:v>Vận dụng</x:v>
      </x:c>
      <x:c r="J122" s="10" t="str">
        <x:v>SGK_KHTN_8_CD_testset.csv</x:v>
      </x:c>
      <x:c r="K122" s="9" t="str">
        <x:v>Yêu cầu áp dụng kiến thức, quy tắc hoặc phép tính vào tình huống/suy luận cụ thể.</x:v>
      </x:c>
      <x:c r="L122" s="9" t="str">
        <x:v>Cần giáo viên xác nhận</x:v>
      </x:c>
      <x:c r="M122" s="9" t="str"/>
    </x:row>
    <x:row r="123">
      <x:c r="A123" s="8" t="n">
        <x:v>122</x:v>
      </x:c>
      <x:c r="B123" s="9" t="str">
        <x:v>Trong ví dụ phản ứng HCl + NaOH → NaCl + H₂O của bài Muối, hãy dựa vào khái niệm muối để giải thích vì sao sodium chloride (NaCl) được coi là muối.</x:v>
      </x:c>
      <x:c r="C123" s="9" t="str">
        <x:v>Vì trong phản ứng, ion H⁺ của hydrochloric acid (HCl) đã được thay thế bởi ion kim loại Na⁺, tạo thành NaCl — đúng với khái niệm muối là hợp chất hình thành từ sự thay thế ion H⁺ của acid bởi ion kim loại hoặc ion NH₄⁺.</x:v>
      </x:c>
      <x:c r="D123" s="10" t="str">
        <x:v>SGK_KHTN_8_CD</x:v>
      </x:c>
      <x:c r="E123" s="8" t="n">
        <x:v>62</x:v>
      </x:c>
      <x:c r="F123" s="10" t="str">
        <x:v>hoa</x:v>
      </x:c>
      <x:c r="G123" s="10" t="str">
        <x:v>suy_luan</x:v>
      </x:c>
      <x:c r="H123" s="10" t="str">
        <x:v>van_ban</x:v>
      </x:c>
      <x:c r="I123" s="10" t="str">
        <x:v>Thông hiểu</x:v>
      </x:c>
      <x:c r="J123" s="10" t="str">
        <x:v>SGK_KHTN_8_CD_testset.csv</x:v>
      </x:c>
      <x:c r="K123" s="9" t="str">
        <x:v>Yêu cầu mô tả, giải thích, so sánh hoặc diễn giải ý nghĩa/mối quan hệ.</x:v>
      </x:c>
      <x:c r="L123" s="9" t="str">
        <x:v>Cần giáo viên xác nhận</x:v>
      </x:c>
      <x:c r="M123" s="9" t="str"/>
    </x:row>
    <x:row r="124">
      <x:c r="A124" s="8" t="n">
        <x:v>123</x:v>
      </x:c>
      <x:c r="B124" s="9" t="str">
        <x:v>Ở điều kiện chuẩn (áp suất 1 bar, nhiệt độ 25 °C), thể tích mol của các chất khí bằng bao nhiêu lít?</x:v>
      </x:c>
      <x:c r="C124" s="9" t="str">
        <x:v>24,78 lít</x:v>
      </x:c>
      <x:c r="D124" s="10" t="str">
        <x:v>SGK_KHTN_8_CD</x:v>
      </x:c>
      <x:c r="E124" s="8" t="n">
        <x:v>31</x:v>
      </x:c>
      <x:c r="F124" s="10" t="str">
        <x:v>hoa</x:v>
      </x:c>
      <x:c r="G124" s="10" t="str">
        <x:v>truc_tiep</x:v>
      </x:c>
      <x:c r="H124" s="10" t="str">
        <x:v>van_ban</x:v>
      </x:c>
      <x:c r="I124" s="10" t="str">
        <x:v>Nhận biết</x:v>
      </x:c>
      <x:c r="J124" s="10" t="str">
        <x:v>SGK_KHTN_8_CD_testset.csv</x:v>
      </x:c>
      <x:c r="K124" s="9" t="str">
        <x:v>Yêu cầu nhớ, nêu, kể tên, nhận diện hoặc lấy lại thông tin trực tiếp.</x:v>
      </x:c>
      <x:c r="L124" s="9" t="str">
        <x:v>Cần giáo viên xác nhận</x:v>
      </x:c>
      <x:c r="M124" s="9" t="str"/>
    </x:row>
    <x:row r="125">
      <x:c r="A125" s="8" t="n">
        <x:v>124</x:v>
      </x:c>
      <x:c r="B125" s="9" t="str">
        <x:v>Viết phương trình hoá học của phản ứng khi dẫn khí carbon dioxide (CO2) vào dung dịch calcium hydroxide (nước vôi trong).</x:v>
      </x:c>
      <x:c r="C125" s="9" t="str">
        <x:v>CO2 + Ca(OH)2 → CaCO3↓ + H2O</x:v>
      </x:c>
      <x:c r="D125" s="10" t="str">
        <x:v>SGK_KHTN_8_CD</x:v>
      </x:c>
      <x:c r="E125" s="8" t="n">
        <x:v>61</x:v>
      </x:c>
      <x:c r="F125" s="10" t="str">
        <x:v>hoa</x:v>
      </x:c>
      <x:c r="G125" s="10" t="str">
        <x:v>truc_tiep</x:v>
      </x:c>
      <x:c r="H125" s="10" t="str">
        <x:v>van_ban</x:v>
      </x:c>
      <x:c r="I125" s="10" t="str">
        <x:v>Vận dụng</x:v>
      </x:c>
      <x:c r="J125" s="10" t="str">
        <x:v>SGK_KHTN_8_CD_testset.csv</x:v>
      </x:c>
      <x:c r="K125" s="9" t="str">
        <x:v>Yêu cầu áp dụng kiến thức, quy tắc hoặc phép tính vào tình huống/suy luận cụ thể.</x:v>
      </x:c>
      <x:c r="L125" s="9" t="str">
        <x:v>Cần giáo viên xác nhận</x:v>
      </x:c>
      <x:c r="M125" s="9" t="str"/>
    </x:row>
    <x:row r="126">
      <x:c r="A126" s="8" t="n">
        <x:v>125</x:v>
      </x:c>
      <x:c r="B126" s="9" t="str">
        <x:v>Hãy phát biểu định luật Acsimet về lực đẩy mà chất lỏng tác dụng lên vật đặt trong nó.</x:v>
      </x:c>
      <x:c r="C126" s="9" t="str">
        <x:v>Chất lỏng tác dụng lên vật đặt trong nó một lực đẩy hướng thẳng đứng lên trên (lực đẩy Acsimet), có độ lớn bằng trọng lượng phần chất lỏng bị vật chiếm chỗ.</x:v>
      </x:c>
      <x:c r="D126" s="10" t="str">
        <x:v>SGK_KHTN_8_CD</x:v>
      </x:c>
      <x:c r="E126" s="8" t="n">
        <x:v>81</x:v>
      </x:c>
      <x:c r="F126" s="10" t="str">
        <x:v>ly</x:v>
      </x:c>
      <x:c r="G126" s="10" t="str">
        <x:v>truc_tiep</x:v>
      </x:c>
      <x:c r="H126" s="10" t="str">
        <x:v>van_ban</x:v>
      </x:c>
      <x:c r="I126" s="10" t="str">
        <x:v>Thông hiểu</x:v>
      </x:c>
      <x:c r="J126" s="10" t="str">
        <x:v>SGK_KHTN_8_CD_testset.csv</x:v>
      </x:c>
      <x:c r="K126" s="9" t="str">
        <x:v>Yêu cầu mô tả, giải thích, so sánh hoặc diễn giải ý nghĩa/mối quan hệ.</x:v>
      </x:c>
      <x:c r="L126" s="9" t="str">
        <x:v>Cần giáo viên xác nhận</x:v>
      </x:c>
      <x:c r="M126" s="9" t="str"/>
    </x:row>
    <x:row r="127">
      <x:c r="A127" s="8" t="n">
        <x:v>126</x:v>
      </x:c>
      <x:c r="B127" s="9" t="str">
        <x:v>Đối lưu là gì và là hình thức truyền nhiệt chủ yếu của những chất nào?</x:v>
      </x:c>
      <x:c r="C127" s="9" t="str">
        <x:v>Đối lưu là sự truyền nhiệt bằng các dòng chất lỏng hay chất khí; nó là hình thức truyền nhiệt chủ yếu của chất lỏng và chất khí.</x:v>
      </x:c>
      <x:c r="D127" s="10" t="str">
        <x:v>SGK_KHTN_8_CD</x:v>
      </x:c>
      <x:c r="E127" s="8" t="n">
        <x:v>122</x:v>
      </x:c>
      <x:c r="F127" s="10" t="str">
        <x:v>ly</x:v>
      </x:c>
      <x:c r="G127" s="10" t="str">
        <x:v>truc_tiep</x:v>
      </x:c>
      <x:c r="H127" s="10" t="str">
        <x:v>van_ban</x:v>
      </x:c>
      <x:c r="I127" s="10" t="str">
        <x:v>Thông hiểu</x:v>
      </x:c>
      <x:c r="J127" s="10" t="str">
        <x:v>SGK_KHTN_8_CD_testset.csv</x:v>
      </x:c>
      <x:c r="K127" s="9" t="str">
        <x:v>Yêu cầu mô tả, giải thích, so sánh hoặc diễn giải ý nghĩa/mối quan hệ.</x:v>
      </x:c>
      <x:c r="L127" s="9" t="str">
        <x:v>Cần giáo viên xác nhận</x:v>
      </x:c>
      <x:c r="M127" s="9" t="str"/>
    </x:row>
    <x:row r="128">
      <x:c r="A128" s="8" t="n">
        <x:v>127</x:v>
      </x:c>
      <x:c r="B128" s="9" t="str">
        <x:v>Biết độ tan của đường ăn trong nước ở 30 °C là 216,7 gam/100 gam H2O. Theo cách tính độ tan đã học, có thể hoà tan tối đa bao nhiêu gam đường ăn trong 250 gam nước ở 30 °C?</x:v>
      </x:c>
      <x:c r="C128" s="9" t="str">
        <x:v>Khối lượng đường ăn tối đa = 216,7 x 250 : 100 = 541,75 gam.</x:v>
      </x:c>
      <x:c r="D128" s="10" t="str">
        <x:v>SGK_KHTN_8_CD</x:v>
      </x:c>
      <x:c r="E128" s="8" t="n">
        <x:v>37</x:v>
      </x:c>
      <x:c r="F128" s="10" t="str">
        <x:v>hoa</x:v>
      </x:c>
      <x:c r="G128" s="10" t="str">
        <x:v>suy_luan</x:v>
      </x:c>
      <x:c r="H128" s="10" t="str">
        <x:v>van_ban</x:v>
      </x:c>
      <x:c r="I128" s="10" t="str">
        <x:v>Vận dụng</x:v>
      </x:c>
      <x:c r="J128" s="10" t="str">
        <x:v>SGK_KHTN_8_CD_testset.csv</x:v>
      </x:c>
      <x:c r="K128" s="9" t="str">
        <x:v>Yêu cầu áp dụng kiến thức, quy tắc hoặc phép tính vào tình huống/suy luận cụ thể.</x:v>
      </x:c>
      <x:c r="L128" s="9" t="str">
        <x:v>Cần giáo viên xác nhận</x:v>
      </x:c>
      <x:c r="M128" s="9" t="str"/>
    </x:row>
    <x:row r="129">
      <x:c r="A129" s="8" t="n">
        <x:v>128</x:v>
      </x:c>
      <x:c r="B129" s="9" t="str">
        <x:v>Hãy nêu các ví dụ về hiện tượng xảy ra trong thực tế có sự biến đổi hoá học được liệt kê trong bài.</x:v>
      </x:c>
      <x:c r="C129" s="9" t="str">
        <x:v>Quá trình tiêu hoá thức ăn, trứng để lâu ngày bị thối, nung đá vôi tạo thành vôi sống.</x:v>
      </x:c>
      <x:c r="D129" s="10" t="str">
        <x:v>SGK_KHTN_8_CD</x:v>
      </x:c>
      <x:c r="E129" s="8" t="n">
        <x:v>14</x:v>
      </x:c>
      <x:c r="F129" s="10" t="str">
        <x:v>hoa</x:v>
      </x:c>
      <x:c r="G129" s="10" t="str">
        <x:v>truc_tiep</x:v>
      </x:c>
      <x:c r="H129" s="10" t="str">
        <x:v>van_ban</x:v>
      </x:c>
      <x:c r="I129" s="10" t="str">
        <x:v>Nhận biết</x:v>
      </x:c>
      <x:c r="J129" s="10" t="str">
        <x:v>SGK_KHTN_8_CD_testset.csv</x:v>
      </x:c>
      <x:c r="K129" s="9" t="str">
        <x:v>Yêu cầu nhớ, nêu, kể tên, nhận diện hoặc lấy lại thông tin trực tiếp.</x:v>
      </x:c>
      <x:c r="L129" s="9" t="str">
        <x:v>Cần giáo viên xác nhận</x:v>
      </x:c>
      <x:c r="M129" s="9" t="str"/>
    </x:row>
    <x:row r="130">
      <x:c r="A130" s="8" t="n">
        <x:v>129</x:v>
      </x:c>
      <x:c r="B130" s="9" t="str">
        <x:v>Trong thí nghiệm với Mg(OH)2, sau khi cho một lượng nhỏ Mg(OH)2 vào ống nghiệm cùng khoảng 1 ml nước cất và lắc nhẹ mà ống nghiệm vẫn còn chất rắn, người ta phải nhỏ từ từ dung dịch HCl đến khi không nhìn thấy chất rắn nữa thì dừng. Từ đó có thể suy luận gì về khả năng tan của Mg(OH)2 trong nước và hiện tượng xảy ra khi Mg(OH)2 tác dụng với dung dịch HCl?</x:v>
      </x:c>
      <x:c r="C130" s="9" t="str">
        <x:v>Mg(OH)2 tan rất ít (không tan hết) trong nước cất vì sau khi lắc nhẹ ống nghiệm vẫn còn chất rắn; khi nhỏ dần dung dịch HCl, Mg(OH)2 phản ứng với acid làm chất rắn tan dần và mất hẳn, phản ứng kết thúc khi không còn nhìn thấy chất rắn trong ống nghiệm.</x:v>
      </x:c>
      <x:c r="D130" s="10" t="str">
        <x:v>SGK_KHTN_8_CD</x:v>
      </x:c>
      <x:c r="E130" s="8" t="n">
        <x:v>53</x:v>
      </x:c>
      <x:c r="F130" s="10" t="str">
        <x:v>hoa</x:v>
      </x:c>
      <x:c r="G130" s="10" t="str">
        <x:v>suy_luan</x:v>
      </x:c>
      <x:c r="H130" s="10" t="str">
        <x:v>van_ban</x:v>
      </x:c>
      <x:c r="I130" s="10" t="str">
        <x:v>Thông hiểu</x:v>
      </x:c>
      <x:c r="J130" s="10" t="str">
        <x:v>SGK_KHTN_8_CD_testset.csv</x:v>
      </x:c>
      <x:c r="K130" s="9" t="str">
        <x:v>Yêu cầu mô tả, giải thích, so sánh hoặc diễn giải ý nghĩa/mối quan hệ.</x:v>
      </x:c>
      <x:c r="L130" s="9" t="str">
        <x:v>Cần giáo viên xác nhận</x:v>
      </x:c>
      <x:c r="M130" s="9" t="str"/>
    </x:row>
    <x:row r="131">
      <x:c r="A131" s="8" t="n">
        <x:v>130</x:v>
      </x:c>
      <x:c r="B131" s="9" t="str">
        <x:v>Trong thí nghiệm nhỏ từ từ dung dịch NaOH vào ống nghiệm chứa khoảng 2 ml dung dịch CuSO4, hãy viết phương trình hoá học của phản ứng xảy ra.</x:v>
      </x:c>
      <x:c r="C131" s="9" t="str">
        <x:v>CuSO4 + 2NaOH -&gt; Cu(OH)2↓ + Na2SO4.</x:v>
      </x:c>
      <x:c r="D131" s="10" t="str">
        <x:v>SGK_KHTN_8_CD</x:v>
      </x:c>
      <x:c r="E131" s="8" t="n">
        <x:v>65</x:v>
      </x:c>
      <x:c r="F131" s="10" t="str">
        <x:v>hoa</x:v>
      </x:c>
      <x:c r="G131" s="10" t="str">
        <x:v>truc_tiep</x:v>
      </x:c>
      <x:c r="H131" s="10" t="str">
        <x:v>van_ban</x:v>
      </x:c>
      <x:c r="I131" s="10" t="str">
        <x:v>Vận dụng</x:v>
      </x:c>
      <x:c r="J131" s="10" t="str">
        <x:v>SGK_KHTN_8_CD_testset.csv</x:v>
      </x:c>
      <x:c r="K131" s="9" t="str">
        <x:v>Yêu cầu áp dụng kiến thức, quy tắc hoặc phép tính vào tình huống/suy luận cụ thể.</x:v>
      </x:c>
      <x:c r="L131" s="9" t="str">
        <x:v>Cần giáo viên xác nhận</x:v>
      </x:c>
      <x:c r="M131" s="9" t="str"/>
    </x:row>
    <x:row r="132">
      <x:c r="A132" s="8" t="n">
        <x:v>131</x:v>
      </x:c>
      <x:c r="B132" s="9" t="str">
        <x:v>Hình 12.1 trong bài Muối minh hoạ hai muối có nhiều trong tự nhiên. Hãy nêu tên hai muối đó và cho biết mỗi muối có nhiều ở đâu?</x:v>
      </x:c>
      <x:c r="C132" s="9" t="str">
        <x:v>Sodium chloride có nhiều trong nước biển; calcium carbonate có nhiều trong các mỏ đá vôi.</x:v>
      </x:c>
      <x:c r="D132" s="10" t="str">
        <x:v>SGK_KHTN_8_CD</x:v>
      </x:c>
      <x:c r="E132" s="8" t="n">
        <x:v>62</x:v>
      </x:c>
      <x:c r="F132" s="10" t="str">
        <x:v>hoa</x:v>
      </x:c>
      <x:c r="G132" s="10" t="str">
        <x:v>truc_tiep</x:v>
      </x:c>
      <x:c r="H132" s="10" t="str">
        <x:v>van_ban</x:v>
      </x:c>
      <x:c r="I132" s="10" t="str">
        <x:v>Nhận biết</x:v>
      </x:c>
      <x:c r="J132" s="10" t="str">
        <x:v>SGK_KHTN_8_CD_testset.csv</x:v>
      </x:c>
      <x:c r="K132" s="9" t="str">
        <x:v>Yêu cầu nhớ, nêu, kể tên, nhận diện hoặc lấy lại thông tin trực tiếp.</x:v>
      </x:c>
      <x:c r="L132" s="9" t="str">
        <x:v>Cần giáo viên xác nhận</x:v>
      </x:c>
      <x:c r="M132" s="9" t="str"/>
    </x:row>
    <x:row r="133">
      <x:c r="A133" s="8" t="n">
        <x:v>132</x:v>
      </x:c>
      <x:c r="B133" s="9" t="str">
        <x:v>Theo ví dụ trong sách giáo khoa về tỉ khối khí, khí CO2 nặng hơn khí H2 bao nhiêu lần?</x:v>
      </x:c>
      <x:c r="C133" s="9" t="str">
        <x:v>22 lần</x:v>
      </x:c>
      <x:c r="D133" s="10" t="str">
        <x:v>SGK_KHTN_8_CD</x:v>
      </x:c>
      <x:c r="E133" s="8" t="n">
        <x:v>31</x:v>
      </x:c>
      <x:c r="F133" s="10" t="str">
        <x:v>hoa</x:v>
      </x:c>
      <x:c r="G133" s="10" t="str">
        <x:v>truc_tiep</x:v>
      </x:c>
      <x:c r="H133" s="10" t="str">
        <x:v>van_ban</x:v>
      </x:c>
      <x:c r="I133" s="10" t="str">
        <x:v>Nhận biết</x:v>
      </x:c>
      <x:c r="J133" s="10" t="str">
        <x:v>SGK_KHTN_8_CD_testset.csv</x:v>
      </x:c>
      <x:c r="K133" s="9" t="str">
        <x:v>Yêu cầu nhớ, nêu, kể tên, nhận diện hoặc lấy lại thông tin trực tiếp.</x:v>
      </x:c>
      <x:c r="L133" s="9" t="str">
        <x:v>Cần giáo viên xác nhận</x:v>
      </x:c>
      <x:c r="M133" s="9" t="str"/>
    </x:row>
    <x:row r="134">
      <x:c r="A134" s="8" t="n">
        <x:v>133</x:v>
      </x:c>
      <x:c r="B134" s="9" t="str">
        <x:v>Sulfur dioxide (SO2) tác dụng với dung dịch base tạo ra muối và nước. Dựa vào tính chất này, hãy cho biết SO2 thuộc loại oxide nào?</x:v>
      </x:c>
      <x:c r="C134" s="9" t="str">
        <x:v>Oxide acid (vì oxide acid là loại oxide tác dụng với dung dịch base tạo ra muối và nước).</x:v>
      </x:c>
      <x:c r="D134" s="10" t="str">
        <x:v>SGK_KHTN_8_CD</x:v>
      </x:c>
      <x:c r="E134" s="8" t="n">
        <x:v>61</x:v>
      </x:c>
      <x:c r="F134" s="10" t="str">
        <x:v>hoa</x:v>
      </x:c>
      <x:c r="G134" s="10" t="str">
        <x:v>suy_luan</x:v>
      </x:c>
      <x:c r="H134" s="10" t="str">
        <x:v>van_ban</x:v>
      </x:c>
      <x:c r="I134" s="10" t="str">
        <x:v>Vận dụng</x:v>
      </x:c>
      <x:c r="J134" s="10" t="str">
        <x:v>SGK_KHTN_8_CD_testset.csv</x:v>
      </x:c>
      <x:c r="K134" s="9" t="str">
        <x:v>Yêu cầu áp dụng kiến thức, quy tắc hoặc phép tính vào tình huống/suy luận cụ thể.</x:v>
      </x:c>
      <x:c r="L134" s="9" t="str">
        <x:v>Cần giáo viên xác nhận</x:v>
      </x:c>
      <x:c r="M134" s="9" t="str"/>
    </x:row>
    <x:row r="135">
      <x:c r="A135" s="8" t="n">
        <x:v>134</x:v>
      </x:c>
      <x:c r="B135" s="9" t="str">
        <x:v>Phích nước được chế tạo dựa vào tính chất nào để giữ nước nóng hoặc giữ nước đá lâu tan?</x:v>
      </x:c>
      <x:c r="C135" s="9" t="str">
        <x:v>Tính chất dẫn nhiệt kém của không khí hoặc tính chất không dẫn nhiệt của chân không.</x:v>
      </x:c>
      <x:c r="D135" s="10" t="str">
        <x:v>SGK_KHTN_8_CD</x:v>
      </x:c>
      <x:c r="E135" s="8" t="n">
        <x:v>122</x:v>
      </x:c>
      <x:c r="F135" s="10" t="str">
        <x:v>ly</x:v>
      </x:c>
      <x:c r="G135" s="10" t="str">
        <x:v>truc_tiep</x:v>
      </x:c>
      <x:c r="H135" s="10" t="str">
        <x:v>van_ban</x:v>
      </x:c>
      <x:c r="I135" s="10" t="str">
        <x:v>Thông hiểu</x:v>
      </x:c>
      <x:c r="J135" s="10" t="str">
        <x:v>SGK_KHTN_8_CD_testset.csv</x:v>
      </x:c>
      <x:c r="K135" s="9" t="str">
        <x:v>Yêu cầu mô tả, giải thích, so sánh hoặc diễn giải ý nghĩa/mối quan hệ.</x:v>
      </x:c>
      <x:c r="L135" s="9" t="str">
        <x:v>Cần giáo viên xác nhận</x:v>
      </x:c>
      <x:c r="M135" s="9" t="str"/>
    </x:row>
    <x:row r="136">
      <x:c r="A136" s="8" t="n">
        <x:v>135</x:v>
      </x:c>
      <x:c r="B136" s="9" t="str">
        <x:v>Quan sát Hình 1, cho biết thể tích của dung dịch copper(II) sulfate trong ống đong là bao nhiêu?</x:v>
      </x:c>
      <x:c r="C136" s="9" t="str">
        <x:v>Là giá trị đọc được tại mực dung dịch trên vạch chia của ống đong ở Hình 1 (người duyệt xem hình và điền số mL cụ thể).</x:v>
      </x:c>
      <x:c r="D136" s="10" t="str">
        <x:v>SGK_KHTN_8_CD</x:v>
      </x:c>
      <x:c r="E136" s="8" t="n">
        <x:v>4</x:v>
      </x:c>
      <x:c r="F136" s="10" t="str"/>
      <x:c r="G136" s="10" t="str">
        <x:v>truc_tiep</x:v>
      </x:c>
      <x:c r="H136" s="10" t="str">
        <x:v>hinh</x:v>
      </x:c>
      <x:c r="I136" s="10" t="str">
        <x:v>Nhận biết</x:v>
      </x:c>
      <x:c r="J136" s="10" t="str">
        <x:v>SGK_KHTN_8_CD_testset.csv</x:v>
      </x:c>
      <x:c r="K136" s="9" t="str">
        <x:v>Yêu cầu nhớ, nêu, kể tên, nhận diện hoặc lấy lại thông tin trực tiếp.</x:v>
      </x:c>
      <x:c r="L136" s="9" t="str">
        <x:v>Cần giáo viên xác nhận</x:v>
      </x:c>
      <x:c r="M136" s="9" t="str"/>
    </x:row>
    <x:row r="137">
      <x:c r="A137" s="8" t="n">
        <x:v>136</x:v>
      </x:c>
      <x:c r="B137" s="9" t="str">
        <x:v>Quan sát Hình 4, hãy cho biết dụng cụ được vẽ ở hình 4a là dụng cụ gì và nó dùng để làm gì?</x:v>
      </x:c>
      <x:c r="C137" s="9" t="str">
        <x:v>Đèn cồn – dùng để đun nóng.</x:v>
      </x:c>
      <x:c r="D137" s="10" t="str">
        <x:v>SGK_KHTN_8_CD</x:v>
      </x:c>
      <x:c r="E137" s="8" t="n">
        <x:v>5</x:v>
      </x:c>
      <x:c r="F137" s="10" t="str"/>
      <x:c r="G137" s="10" t="str">
        <x:v>truc_tiep</x:v>
      </x:c>
      <x:c r="H137" s="10" t="str">
        <x:v>hinh</x:v>
      </x:c>
      <x:c r="I137" s="10" t="str">
        <x:v>Nhận biết</x:v>
      </x:c>
      <x:c r="J137" s="10" t="str">
        <x:v>SGK_KHTN_8_CD_testset.csv</x:v>
      </x:c>
      <x:c r="K137" s="9" t="str">
        <x:v>Yêu cầu nhớ, nêu, kể tên, nhận diện hoặc lấy lại thông tin trực tiếp.</x:v>
      </x:c>
      <x:c r="L137" s="9" t="str">
        <x:v>Cần giáo viên xác nhận</x:v>
      </x:c>
      <x:c r="M137" s="9" t="str"/>
    </x:row>
    <x:row r="138">
      <x:c r="A138" s="8" t="n">
        <x:v>137</x:v>
      </x:c>
      <x:c r="B138" s="9" t="str">
        <x:v>Quan sát Hình 5, hãy cho biết hai dụng cụ được ghi chú ở 5a và 5b lần lượt là gì và mỗi dụng cụ dùng để làm gì?</x:v>
      </x:c>
      <x:c r="C138" s="9" t="str">
        <x:v>5a: Thìa thuỷ tinh – dùng để lấy từng lượng nhỏ chất rắn dạng bột; 5b: Đũa thuỷ tinh – dùng để khuấy khi hoà tan chất rắn hoặc pha trộn các dung dịch với nhau.</x:v>
      </x:c>
      <x:c r="D138" s="10" t="str">
        <x:v>SGK_KHTN_8_CD</x:v>
      </x:c>
      <x:c r="E138" s="8" t="n">
        <x:v>6</x:v>
      </x:c>
      <x:c r="F138" s="10" t="str"/>
      <x:c r="G138" s="10" t="str">
        <x:v>truc_tiep</x:v>
      </x:c>
      <x:c r="H138" s="10" t="str">
        <x:v>hinh</x:v>
      </x:c>
      <x:c r="I138" s="10" t="str">
        <x:v>Nhận biết</x:v>
      </x:c>
      <x:c r="J138" s="10" t="str">
        <x:v>SGK_KHTN_8_CD_testset.csv</x:v>
      </x:c>
      <x:c r="K138" s="9" t="str">
        <x:v>Yêu cầu nhớ, nêu, kể tên, nhận diện hoặc lấy lại thông tin trực tiếp.</x:v>
      </x:c>
      <x:c r="L138" s="9" t="str">
        <x:v>Cần giáo viên xác nhận</x:v>
      </x:c>
      <x:c r="M138" s="9" t="str"/>
    </x:row>
    <x:row r="139">
      <x:c r="A139" s="8" t="n">
        <x:v>138</x:v>
      </x:c>
      <x:c r="B139" s="9" t="str">
        <x:v>Quan sát Hình 7, em hãy cho biết trên nhãn dán của lọ đựng dung dịch có ghi những thông tin gì?</x:v>
      </x:c>
      <x:c r="C139" s="9" t="str">
        <x:v>Nhãn ghi đầy đủ thông tin về hoá chất, bao gồm tên hoá chất và công thức hoá học (có thể là dung dịch copper(II) sulfate – CuSO₄, người duyệt kiểm tra lại chữ trên nhãn trong hình).</x:v>
      </x:c>
      <x:c r="D139" s="10" t="str">
        <x:v>SGK_KHTN_8_CD</x:v>
      </x:c>
      <x:c r="E139" s="8" t="n">
        <x:v>7</x:v>
      </x:c>
      <x:c r="F139" s="10" t="str"/>
      <x:c r="G139" s="10" t="str">
        <x:v>truc_tiep</x:v>
      </x:c>
      <x:c r="H139" s="10" t="str">
        <x:v>hinh</x:v>
      </x:c>
      <x:c r="I139" s="10" t="str">
        <x:v>Nhận biết</x:v>
      </x:c>
      <x:c r="J139" s="10" t="str">
        <x:v>SGK_KHTN_8_CD_testset.csv</x:v>
      </x:c>
      <x:c r="K139" s="9" t="str">
        <x:v>Yêu cầu nhớ, nêu, kể tên, nhận diện hoặc lấy lại thông tin trực tiếp.</x:v>
      </x:c>
      <x:c r="L139" s="9" t="str">
        <x:v>Cần giáo viên xác nhận</x:v>
      </x:c>
      <x:c r="M139" s="9" t="str"/>
    </x:row>
    <x:row r="140">
      <x:c r="A140" s="8" t="n">
        <x:v>139</x:v>
      </x:c>
      <x:c r="B140" s="9" t="str">
        <x:v>Cầu chì là thiết bị bảo vệ mạch điện hoạt động dựa vào tác dụng nào của dòng điện, và vì sao đoạn dây chì trong cầu chì dễ bị nóng chảy để ngắt mạch khi có sự cố?</x:v>
      </x:c>
      <x:c r="C140" s="9" t="str">
        <x:v>Cầu chì hoạt động dựa vào tác dụng nhiệt của dòng điện; vì dây chì có nhiệt độ nóng chảy thấp hơn các kim loại khác nên khi dòng điện quá mạnh sinh nhiệt sẽ làm dây chì nóng chảy, ngắt mạch.</x:v>
      </x:c>
      <x:c r="D140" s="10" t="str">
        <x:v>SGK_KHTN_8_CTST</x:v>
      </x:c>
      <x:c r="E140" s="8" t="n">
        <x:v>106</x:v>
      </x:c>
      <x:c r="F140" s="10" t="str">
        <x:v>ly</x:v>
      </x:c>
      <x:c r="G140" s="10" t="str">
        <x:v>suy_luan</x:v>
      </x:c>
      <x:c r="H140" s="10" t="str">
        <x:v>van_ban</x:v>
      </x:c>
      <x:c r="I140" s="10" t="str">
        <x:v>Vận dụng</x:v>
      </x:c>
      <x:c r="J140" s="10" t="str">
        <x:v>SGK_KHTN_8_CTST_testset.csv</x:v>
      </x:c>
      <x:c r="K140" s="9" t="str">
        <x:v>Yêu cầu áp dụng kiến thức, quy tắc hoặc phép tính vào tình huống/suy luận cụ thể.</x:v>
      </x:c>
      <x:c r="L140" s="9" t="str">
        <x:v>Cần giáo viên xác nhận</x:v>
      </x:c>
      <x:c r="M140" s="9" t="str"/>
    </x:row>
    <x:row r="141">
      <x:c r="A141" s="8" t="n">
        <x:v>140</x:v>
      </x:c>
      <x:c r="B141" s="9" t="str">
        <x:v>Qua các thời kì phát triển xã hội, sự tác động của con người đã gây ra những ảnh hưởng tiêu cực nào tới môi trường tự nhiên?</x:v>
      </x:c>
      <x:c r="C141" s="9" t="str">
        <x:v>Làm mất dần diện tích rừng, ô nhiễm môi trường, mất cân bằng tự nhiên.</x:v>
      </x:c>
      <x:c r="D141" s="10" t="str">
        <x:v>SGK_KHTN_8_CTST</x:v>
      </x:c>
      <x:c r="E141" s="8" t="n">
        <x:v>213</x:v>
      </x:c>
      <x:c r="F141" s="10" t="str">
        <x:v>sinh</x:v>
      </x:c>
      <x:c r="G141" s="10" t="str">
        <x:v>truc_tiep</x:v>
      </x:c>
      <x:c r="H141" s="10" t="str">
        <x:v>van_ban</x:v>
      </x:c>
      <x:c r="I141" s="10" t="str">
        <x:v>Thông hiểu</x:v>
      </x:c>
      <x:c r="J141" s="10" t="str">
        <x:v>SGK_KHTN_8_CTST_testset.csv</x:v>
      </x:c>
      <x:c r="K141" s="9" t="str">
        <x:v>Yêu cầu mô tả, giải thích, so sánh hoặc diễn giải ý nghĩa/mối quan hệ.</x:v>
      </x:c>
      <x:c r="L141" s="9" t="str">
        <x:v>Cần giáo viên xác nhận</x:v>
      </x:c>
      <x:c r="M141" s="9" t="str"/>
    </x:row>
    <x:row r="142">
      <x:c r="A142" s="8" t="n">
        <x:v>141</x:v>
      </x:c>
      <x:c r="B142" s="9" t="str">
        <x:v>Một người phụ nữ có kết quả xét nghiệm nồng độ uric acid trong máu là 6,5 mg/dL. Dựa vào ngưỡng chỉ số uric acid theo giới tính, người này có nguy cơ mắc bệnh gì?</x:v>
      </x:c>
      <x:c r="C142" s="9" t="str">
        <x:v>Có nguy cơ mắc bệnh Gout, vì nồng độ uric acid 6,5 mg/dL đã vượt ngưỡng 6,0 mg/dL dành cho nữ giới</x:v>
      </x:c>
      <x:c r="D142" s="10" t="str">
        <x:v>SGK_KHTN_8_CTST</x:v>
      </x:c>
      <x:c r="E142" s="8" t="n">
        <x:v>169</x:v>
      </x:c>
      <x:c r="F142" s="10" t="str">
        <x:v>sinh</x:v>
      </x:c>
      <x:c r="G142" s="10" t="str">
        <x:v>suy_luan</x:v>
      </x:c>
      <x:c r="H142" s="10" t="str">
        <x:v>van_ban</x:v>
      </x:c>
      <x:c r="I142" s="10" t="str">
        <x:v>Vận dụng</x:v>
      </x:c>
      <x:c r="J142" s="10" t="str">
        <x:v>SGK_KHTN_8_CTST_testset.csv</x:v>
      </x:c>
      <x:c r="K142" s="9" t="str">
        <x:v>Yêu cầu áp dụng kiến thức, quy tắc hoặc phép tính vào tình huống/suy luận cụ thể.</x:v>
      </x:c>
      <x:c r="L142" s="9" t="str">
        <x:v>Cần giáo viên xác nhận</x:v>
      </x:c>
      <x:c r="M142" s="9" t="str"/>
    </x:row>
    <x:row r="143">
      <x:c r="A143" s="8" t="n">
        <x:v>142</x:v>
      </x:c>
      <x:c r="B143" s="9" t="str">
        <x:v>So sánh phản ứng gỉ sét của vỏ tàu biển làm bằng sắt với phản ứng nổ của pháo hoa, có thể rút ra nhận xét gì về tốc độ của các phản ứng hoá học khác nhau?</x:v>
      </x:c>
      <x:c r="C143" s="9" t="str">
        <x:v>Các phản ứng hoá học khác nhau thì tốc độ phản ứng không bằng nhau: có phản ứng xảy ra rất chậm (gỉ sét của vỏ tàu sắt) và có phản ứng xảy ra rất nhanh (nổ của pháo hoa).</x:v>
      </x:c>
      <x:c r="D143" s="10" t="str">
        <x:v>SGK_KHTN_8_CTST</x:v>
      </x:c>
      <x:c r="E143" s="8" t="n">
        <x:v>37</x:v>
      </x:c>
      <x:c r="F143" s="10" t="str">
        <x:v>hoa</x:v>
      </x:c>
      <x:c r="G143" s="10" t="str">
        <x:v>suy_luan</x:v>
      </x:c>
      <x:c r="H143" s="10" t="str">
        <x:v>van_ban</x:v>
      </x:c>
      <x:c r="I143" s="10" t="str">
        <x:v>Thông hiểu</x:v>
      </x:c>
      <x:c r="J143" s="10" t="str">
        <x:v>SGK_KHTN_8_CTST_testset.csv</x:v>
      </x:c>
      <x:c r="K143" s="9" t="str">
        <x:v>Yêu cầu mô tả, giải thích, so sánh hoặc diễn giải ý nghĩa/mối quan hệ.</x:v>
      </x:c>
      <x:c r="L143" s="9" t="str">
        <x:v>Cần giáo viên xác nhận</x:v>
      </x:c>
      <x:c r="M143" s="9" t="str"/>
    </x:row>
    <x:row r="144">
      <x:c r="A144" s="8" t="n">
        <x:v>143</x:v>
      </x:c>
      <x:c r="B144" s="9" t="str">
        <x:v>Công thức hoá học chung của oxide có dạng nào?</x:v>
      </x:c>
      <x:c r="C144" s="9" t="str">
        <x:v>MxOy</x:v>
      </x:c>
      <x:c r="D144" s="10" t="str">
        <x:v>SGK_KHTN_8_CTST</x:v>
      </x:c>
      <x:c r="E144" s="8" t="n">
        <x:v>53</x:v>
      </x:c>
      <x:c r="F144" s="10" t="str">
        <x:v>hoa</x:v>
      </x:c>
      <x:c r="G144" s="10" t="str">
        <x:v>truc_tiep</x:v>
      </x:c>
      <x:c r="H144" s="10" t="str">
        <x:v>van_ban</x:v>
      </x:c>
      <x:c r="I144" s="10" t="str">
        <x:v>Thông hiểu</x:v>
      </x:c>
      <x:c r="J144" s="10" t="str">
        <x:v>SGK_KHTN_8_CTST_testset.csv</x:v>
      </x:c>
      <x:c r="K144" s="9" t="str">
        <x:v>Yêu cầu mô tả, giải thích, so sánh hoặc diễn giải ý nghĩa/mối quan hệ.</x:v>
      </x:c>
      <x:c r="L144" s="9" t="str">
        <x:v>Cần giáo viên xác nhận</x:v>
      </x:c>
      <x:c r="M144" s="9" t="str"/>
    </x:row>
    <x:row r="145">
      <x:c r="A145" s="8" t="n">
        <x:v>144</x:v>
      </x:c>
      <x:c r="B145" s="9" t="str">
        <x:v>Hai loại acid nào được sử dụng phổ biến trên thế giới và ở Việt Nam?</x:v>
      </x:c>
      <x:c r="C145" s="9" t="str">
        <x:v>Sulfuric acid (H2SO4) và hydrochloric acid (HCl).</x:v>
      </x:c>
      <x:c r="D145" s="10" t="str">
        <x:v>SGK_KHTN_8_CTST</x:v>
      </x:c>
      <x:c r="E145" s="8" t="n">
        <x:v>46</x:v>
      </x:c>
      <x:c r="F145" s="10" t="str">
        <x:v>hoa</x:v>
      </x:c>
      <x:c r="G145" s="10" t="str">
        <x:v>truc_tiep</x:v>
      </x:c>
      <x:c r="H145" s="10" t="str">
        <x:v>van_ban</x:v>
      </x:c>
      <x:c r="I145" s="10" t="str">
        <x:v>Thông hiểu</x:v>
      </x:c>
      <x:c r="J145" s="10" t="str">
        <x:v>SGK_KHTN_8_CTST_testset.csv</x:v>
      </x:c>
      <x:c r="K145" s="9" t="str">
        <x:v>Yêu cầu mô tả, giải thích, so sánh hoặc diễn giải ý nghĩa/mối quan hệ.</x:v>
      </x:c>
      <x:c r="L145" s="9" t="str">
        <x:v>Cần giáo viên xác nhận</x:v>
      </x:c>
      <x:c r="M145" s="9" t="str"/>
    </x:row>
    <x:row r="146">
      <x:c r="A146" s="8" t="n">
        <x:v>145</x:v>
      </x:c>
      <x:c r="B146" s="9" t="str">
        <x:v>Thói quen uống ít nước có thể làm tăng nguy cơ mắc bệnh nào của hệ bài tiết nước tiểu? Dựa vào nguyên nhân của bệnh đó để giải thích.</x:v>
      </x:c>
      <x:c r="C146" s="9" t="str">
        <x:v>Nguy cơ sỏi thận; vì uống ít nước khiến các chất trong nước tiểu tích tụ tạo thành khối rắn nằm trong thận hoặc di chuyển trong đường tiết niệu.</x:v>
      </x:c>
      <x:c r="D146" s="10" t="str">
        <x:v>SGK_KHTN_8_CTST</x:v>
      </x:c>
      <x:c r="E146" s="8" t="n">
        <x:v>163</x:v>
      </x:c>
      <x:c r="F146" s="10" t="str">
        <x:v>sinh</x:v>
      </x:c>
      <x:c r="G146" s="10" t="str">
        <x:v>suy_luan</x:v>
      </x:c>
      <x:c r="H146" s="10" t="str">
        <x:v>van_ban</x:v>
      </x:c>
      <x:c r="I146" s="10" t="str">
        <x:v>Vận dụng</x:v>
      </x:c>
      <x:c r="J146" s="10" t="str">
        <x:v>SGK_KHTN_8_CTST_testset.csv</x:v>
      </x:c>
      <x:c r="K146" s="9" t="str">
        <x:v>Yêu cầu áp dụng kiến thức, quy tắc hoặc phép tính vào tình huống/suy luận cụ thể.</x:v>
      </x:c>
      <x:c r="L146" s="9" t="str">
        <x:v>Cần giáo viên xác nhận</x:v>
      </x:c>
      <x:c r="M146" s="9" t="str"/>
    </x:row>
    <x:row r="147">
      <x:c r="A147" s="8" t="n">
        <x:v>146</x:v>
      </x:c>
      <x:c r="B147" s="9" t="str">
        <x:v>Cuối năm 2020, nạn châu chấu tre lưng vàng bùng phát ở các tỉnh phía Bắc Việt Nam làm số lượng cá thể của loài này tăng quá mức; theo khái niệm cân bằng tự nhiên, hiện tượng này nếu không được kiểm soát sẽ gây ra điều gì?</x:v>
      </x:c>
      <x:c r="C147" s="9" t="str">
        <x:v>Gây ra hiện tượng mất cân bằng tự nhiên: trạng thái cân bằng cũ bị phá vỡ và trạng thái cân bằng mới được thiết lập.</x:v>
      </x:c>
      <x:c r="D147" s="10" t="str">
        <x:v>SGK_KHTN_8_CTST</x:v>
      </x:c>
      <x:c r="E147" s="8" t="n">
        <x:v>209</x:v>
      </x:c>
      <x:c r="F147" s="10" t="str">
        <x:v>sinh</x:v>
      </x:c>
      <x:c r="G147" s="10" t="str">
        <x:v>suy_luan</x:v>
      </x:c>
      <x:c r="H147" s="10" t="str">
        <x:v>van_ban</x:v>
      </x:c>
      <x:c r="I147" s="10" t="str">
        <x:v>Vận dụng</x:v>
      </x:c>
      <x:c r="J147" s="10" t="str">
        <x:v>SGK_KHTN_8_CTST_testset.csv</x:v>
      </x:c>
      <x:c r="K147" s="9" t="str">
        <x:v>Yêu cầu áp dụng kiến thức, quy tắc hoặc phép tính vào tình huống/suy luận cụ thể.</x:v>
      </x:c>
      <x:c r="L147" s="9" t="str">
        <x:v>Cần giáo viên xác nhận</x:v>
      </x:c>
      <x:c r="M147" s="9" t="str"/>
    </x:row>
    <x:row r="148">
      <x:c r="A148" s="8" t="n">
        <x:v>147</x:v>
      </x:c>
      <x:c r="B148" s="9" t="str">
        <x:v>Sau khi thụ tinh, hợp tử mất bao nhiêu ngày để di chuyển từ ống dẫn trứng xuống tử cung?</x:v>
      </x:c>
      <x:c r="C148" s="9" t="str">
        <x:v>Từ 3 - 4 ngày.</x:v>
      </x:c>
      <x:c r="D148" s="10" t="str">
        <x:v>SGK_KHTN_8_CTST</x:v>
      </x:c>
      <x:c r="E148" s="8" t="n">
        <x:v>186</x:v>
      </x:c>
      <x:c r="F148" s="10" t="str">
        <x:v>sinh</x:v>
      </x:c>
      <x:c r="G148" s="10" t="str">
        <x:v>truc_tiep</x:v>
      </x:c>
      <x:c r="H148" s="10" t="str">
        <x:v>van_ban</x:v>
      </x:c>
      <x:c r="I148" s="10" t="str">
        <x:v>Nhận biết</x:v>
      </x:c>
      <x:c r="J148" s="10" t="str">
        <x:v>SGK_KHTN_8_CTST_testset.csv</x:v>
      </x:c>
      <x:c r="K148" s="9" t="str">
        <x:v>Yêu cầu nhớ, nêu, kể tên, nhận diện hoặc lấy lại thông tin trực tiếp.</x:v>
      </x:c>
      <x:c r="L148" s="9" t="str">
        <x:v>Cần giáo viên xác nhận</x:v>
      </x:c>
      <x:c r="M148" s="9" t="str"/>
    </x:row>
    <x:row r="149">
      <x:c r="A149" s="8" t="n">
        <x:v>148</x:v>
      </x:c>
      <x:c r="B149" s="9" t="str">
        <x:v>Khi có dòng điện chạy qua dung dịch copper(II) sulfate, hiện tượng gì được quan sát thấy ở thỏi than K và đó là tác dụng gì của dòng điện?</x:v>
      </x:c>
      <x:c r="C149" s="9" t="str">
        <x:v>Có lớp đồng bám vào thỏi than K; đó là tác dụng hoá học của dòng điện.</x:v>
      </x:c>
      <x:c r="D149" s="10" t="str">
        <x:v>SGK_KHTN_8_CTST</x:v>
      </x:c>
      <x:c r="E149" s="8" t="n">
        <x:v>106</x:v>
      </x:c>
      <x:c r="F149" s="10" t="str">
        <x:v>ly</x:v>
      </x:c>
      <x:c r="G149" s="10" t="str">
        <x:v>truc_tiep</x:v>
      </x:c>
      <x:c r="H149" s="10" t="str">
        <x:v>van_ban</x:v>
      </x:c>
      <x:c r="I149" s="10" t="str">
        <x:v>Nhận biết</x:v>
      </x:c>
      <x:c r="J149" s="10" t="str">
        <x:v>SGK_KHTN_8_CTST_testset.csv</x:v>
      </x:c>
      <x:c r="K149" s="9" t="str">
        <x:v>Yêu cầu nhớ, nêu, kể tên, nhận diện hoặc lấy lại thông tin trực tiếp.</x:v>
      </x:c>
      <x:c r="L149" s="9" t="str">
        <x:v>Cần giáo viên xác nhận</x:v>
      </x:c>
      <x:c r="M149" s="9" t="str"/>
    </x:row>
    <x:row r="150">
      <x:c r="A150" s="8" t="n">
        <x:v>149</x:v>
      </x:c>
      <x:c r="B150" s="9" t="str">
        <x:v>Khi nồng độ uric acid trong máu của nam giới tăng trên bao nhiêu mg/dL thì được xem là có nguy cơ mắc bệnh Gout?</x:v>
      </x:c>
      <x:c r="C150" s="9" t="str">
        <x:v>Trên 7,0 mg/dL</x:v>
      </x:c>
      <x:c r="D150" s="10" t="str">
        <x:v>SGK_KHTN_8_CTST</x:v>
      </x:c>
      <x:c r="E150" s="8" t="n">
        <x:v>169</x:v>
      </x:c>
      <x:c r="F150" s="10" t="str">
        <x:v>sinh</x:v>
      </x:c>
      <x:c r="G150" s="10" t="str">
        <x:v>truc_tiep</x:v>
      </x:c>
      <x:c r="H150" s="10" t="str">
        <x:v>van_ban</x:v>
      </x:c>
      <x:c r="I150" s="10" t="str">
        <x:v>Nhận biết</x:v>
      </x:c>
      <x:c r="J150" s="10" t="str">
        <x:v>SGK_KHTN_8_CTST_testset.csv</x:v>
      </x:c>
      <x:c r="K150" s="9" t="str">
        <x:v>Yêu cầu nhớ, nêu, kể tên, nhận diện hoặc lấy lại thông tin trực tiếp.</x:v>
      </x:c>
      <x:c r="L150" s="9" t="str">
        <x:v>Cần giáo viên xác nhận</x:v>
      </x:c>
      <x:c r="M150" s="9" t="str"/>
    </x:row>
    <x:row r="151">
      <x:c r="A151" s="8" t="n">
        <x:v>150</x:v>
      </x:c>
      <x:c r="B151" s="9" t="str">
        <x:v>Trong bài học về tốc độ phản ứng và chất xúc tác, hãy nêu một ví dụ về phản ứng hoá học xảy ra rất nhanh trong thực tế.</x:v>
      </x:c>
      <x:c r="C151" s="9" t="str">
        <x:v>Phản ứng nổ của pháo hoa (hoặc phản ứng của xăng với oxygen trong xi lanh của động cơ xe hơi).</x:v>
      </x:c>
      <x:c r="D151" s="10" t="str">
        <x:v>SGK_KHTN_8_CTST</x:v>
      </x:c>
      <x:c r="E151" s="8" t="n">
        <x:v>37</x:v>
      </x:c>
      <x:c r="F151" s="10" t="str">
        <x:v>hoa</x:v>
      </x:c>
      <x:c r="G151" s="10" t="str">
        <x:v>truc_tiep</x:v>
      </x:c>
      <x:c r="H151" s="10" t="str">
        <x:v>van_ban</x:v>
      </x:c>
      <x:c r="I151" s="10" t="str">
        <x:v>Nhận biết</x:v>
      </x:c>
      <x:c r="J151" s="10" t="str">
        <x:v>SGK_KHTN_8_CTST_testset.csv</x:v>
      </x:c>
      <x:c r="K151" s="9" t="str">
        <x:v>Yêu cầu nhớ, nêu, kể tên, nhận diện hoặc lấy lại thông tin trực tiếp.</x:v>
      </x:c>
      <x:c r="L151" s="9" t="str">
        <x:v>Cần giáo viên xác nhận</x:v>
      </x:c>
      <x:c r="M151" s="9" t="str"/>
    </x:row>
    <x:row r="152">
      <x:c r="A152" s="8" t="n">
        <x:v>151</x:v>
      </x:c>
      <x:c r="B152" s="9" t="str">
        <x:v>Hợp chất gồm oxygen và một nguyên tố khác được gọi là gì?</x:v>
      </x:c>
      <x:c r="C152" s="9" t="str">
        <x:v>Oxide</x:v>
      </x:c>
      <x:c r="D152" s="10" t="str">
        <x:v>SGK_KHTN_8_CTST</x:v>
      </x:c>
      <x:c r="E152" s="8" t="n">
        <x:v>53</x:v>
      </x:c>
      <x:c r="F152" s="10" t="str">
        <x:v>hoa</x:v>
      </x:c>
      <x:c r="G152" s="10" t="str">
        <x:v>truc_tiep</x:v>
      </x:c>
      <x:c r="H152" s="10" t="str">
        <x:v>van_ban</x:v>
      </x:c>
      <x:c r="I152" s="10" t="str">
        <x:v>Nhận biết</x:v>
      </x:c>
      <x:c r="J152" s="10" t="str">
        <x:v>SGK_KHTN_8_CTST_testset.csv</x:v>
      </x:c>
      <x:c r="K152" s="9" t="str">
        <x:v>Yêu cầu nhớ, nêu, kể tên, nhận diện hoặc lấy lại thông tin trực tiếp.</x:v>
      </x:c>
      <x:c r="L152" s="9" t="str">
        <x:v>Cần giáo viên xác nhận</x:v>
      </x:c>
      <x:c r="M152" s="9" t="str"/>
    </x:row>
    <x:row r="153">
      <x:c r="A153" s="8" t="n">
        <x:v>152</x:v>
      </x:c>
      <x:c r="B153" s="9" t="str">
        <x:v>Lĩnh vực nào vừa được nêu là một mục đích sản xuất chính của các acid, vừa xuất hiện trong hình minh họa ứng dụng của H2SO4 và HCl?</x:v>
      </x:c>
      <x:c r="C153" s="9" t="str">
        <x:v>Sản xuất phân bón.</x:v>
      </x:c>
      <x:c r="D153" s="10" t="str">
        <x:v>SGK_KHTN_8_CTST</x:v>
      </x:c>
      <x:c r="E153" s="8" t="n">
        <x:v>46</x:v>
      </x:c>
      <x:c r="F153" s="10" t="str">
        <x:v>hoa</x:v>
      </x:c>
      <x:c r="G153" s="10" t="str">
        <x:v>suy_luan</x:v>
      </x:c>
      <x:c r="H153" s="10" t="str">
        <x:v>van_ban</x:v>
      </x:c>
      <x:c r="I153" s="10" t="str">
        <x:v>Thông hiểu</x:v>
      </x:c>
      <x:c r="J153" s="10" t="str">
        <x:v>SGK_KHTN_8_CTST_testset.csv</x:v>
      </x:c>
      <x:c r="K153" s="9" t="str">
        <x:v>Yêu cầu mô tả, giải thích, so sánh hoặc diễn giải ý nghĩa/mối quan hệ.</x:v>
      </x:c>
      <x:c r="L153" s="9" t="str">
        <x:v>Cần giáo viên xác nhận</x:v>
      </x:c>
      <x:c r="M153" s="9" t="str"/>
    </x:row>
    <x:row r="154">
      <x:c r="A154" s="8" t="n">
        <x:v>153</x:v>
      </x:c>
      <x:c r="B154" s="9" t="str">
        <x:v>Nguyên nhân gây bệnh viêm đường tiết niệu (nhiễm trùng đường dẫn nước tiểu) là gì?</x:v>
      </x:c>
      <x:c r="C154" s="9" t="str">
        <x:v>Do nhiễm vi khuẩn vào đường tiết niệu.</x:v>
      </x:c>
      <x:c r="D154" s="10" t="str">
        <x:v>SGK_KHTN_8_CTST</x:v>
      </x:c>
      <x:c r="E154" s="8" t="n">
        <x:v>163</x:v>
      </x:c>
      <x:c r="F154" s="10" t="str">
        <x:v>sinh</x:v>
      </x:c>
      <x:c r="G154" s="10" t="str">
        <x:v>truc_tiep</x:v>
      </x:c>
      <x:c r="H154" s="10" t="str">
        <x:v>van_ban</x:v>
      </x:c>
      <x:c r="I154" s="10" t="str">
        <x:v>Nhận biết</x:v>
      </x:c>
      <x:c r="J154" s="10" t="str">
        <x:v>SGK_KHTN_8_CTST_testset.csv</x:v>
      </x:c>
      <x:c r="K154" s="9" t="str">
        <x:v>Yêu cầu nhớ, nêu, kể tên, nhận diện hoặc lấy lại thông tin trực tiếp.</x:v>
      </x:c>
      <x:c r="L154" s="9" t="str">
        <x:v>Cần giáo viên xác nhận</x:v>
      </x:c>
      <x:c r="M154" s="9" t="str"/>
    </x:row>
    <x:row r="155">
      <x:c r="A155" s="8" t="n">
        <x:v>154</x:v>
      </x:c>
      <x:c r="B155" s="9" t="str">
        <x:v>Hiện tượng khống chế số lượng cá thể của loài này bởi loài khác được gọi là gì?</x:v>
      </x:c>
      <x:c r="C155" s="9" t="str">
        <x:v>Hiện tượng khống chế sinh học.</x:v>
      </x:c>
      <x:c r="D155" s="10" t="str">
        <x:v>SGK_KHTN_8_CTST</x:v>
      </x:c>
      <x:c r="E155" s="8" t="n">
        <x:v>209</x:v>
      </x:c>
      <x:c r="F155" s="10" t="str">
        <x:v>sinh</x:v>
      </x:c>
      <x:c r="G155" s="10" t="str">
        <x:v>truc_tiep</x:v>
      </x:c>
      <x:c r="H155" s="10" t="str">
        <x:v>van_ban</x:v>
      </x:c>
      <x:c r="I155" s="10" t="str">
        <x:v>Nhận biết</x:v>
      </x:c>
      <x:c r="J155" s="10" t="str">
        <x:v>SGK_KHTN_8_CTST_testset.csv</x:v>
      </x:c>
      <x:c r="K155" s="9" t="str">
        <x:v>Yêu cầu nhớ, nêu, kể tên, nhận diện hoặc lấy lại thông tin trực tiếp.</x:v>
      </x:c>
      <x:c r="L155" s="9" t="str">
        <x:v>Cần giáo viên xác nhận</x:v>
      </x:c>
      <x:c r="M155" s="9" t="str"/>
    </x:row>
    <x:row r="156">
      <x:c r="A156" s="8" t="n">
        <x:v>155</x:v>
      </x:c>
      <x:c r="B156" s="9" t="str">
        <x:v>Quan sát Hình 1.1, hãy cho biết hai dụng cụ đo thể tích chất lỏng được vẽ trong hình là gì?</x:v>
      </x:c>
      <x:c r="C156" s="9" t="str">
        <x:v>a) Cốc thuỷ tinh; b) Ống đong.</x:v>
      </x:c>
      <x:c r="D156" s="10" t="str">
        <x:v>SGK_KHTN_8_CTST</x:v>
      </x:c>
      <x:c r="E156" s="8" t="n">
        <x:v>6</x:v>
      </x:c>
      <x:c r="F156" s="10" t="str"/>
      <x:c r="G156" s="10" t="str">
        <x:v>truc_tiep</x:v>
      </x:c>
      <x:c r="H156" s="10" t="str">
        <x:v>hinh</x:v>
      </x:c>
      <x:c r="I156" s="10" t="str">
        <x:v>Nhận biết</x:v>
      </x:c>
      <x:c r="J156" s="10" t="str">
        <x:v>SGK_KHTN_8_CTST_testset.csv</x:v>
      </x:c>
      <x:c r="K156" s="9" t="str">
        <x:v>Yêu cầu nhớ, nêu, kể tên, nhận diện hoặc lấy lại thông tin trực tiếp.</x:v>
      </x:c>
      <x:c r="L156" s="9" t="str">
        <x:v>Cần giáo viên xác nhận</x:v>
      </x:c>
      <x:c r="M156" s="9" t="str"/>
    </x:row>
    <x:row r="157">
      <x:c r="A157" s="8" t="n">
        <x:v>156</x:v>
      </x:c>
      <x:c r="B157" s="9" t="str">
        <x:v>Quan sát Hình 1.2, hãy kể tên các dụng cụ chứa hoá chất được vẽ trong hình theo thứ tự từ trái sang phải.</x:v>
      </x:c>
      <x:c r="C157" s="9" t="str">
        <x:v>Lọ thuỷ tinh nút nhám, lọ nhựa, bình tam giác (bình erlen hay bình nón), ống nghiệm.</x:v>
      </x:c>
      <x:c r="D157" s="10" t="str">
        <x:v>SGK_KHTN_8_CTST</x:v>
      </x:c>
      <x:c r="E157" s="8" t="n">
        <x:v>7</x:v>
      </x:c>
      <x:c r="F157" s="10" t="str"/>
      <x:c r="G157" s="10" t="str">
        <x:v>truc_tiep</x:v>
      </x:c>
      <x:c r="H157" s="10" t="str">
        <x:v>hinh</x:v>
      </x:c>
      <x:c r="I157" s="10" t="str">
        <x:v>Nhận biết</x:v>
      </x:c>
      <x:c r="J157" s="10" t="str">
        <x:v>SGK_KHTN_8_CTST_testset.csv</x:v>
      </x:c>
      <x:c r="K157" s="9" t="str">
        <x:v>Yêu cầu nhớ, nêu, kể tên, nhận diện hoặc lấy lại thông tin trực tiếp.</x:v>
      </x:c>
      <x:c r="L157" s="9" t="str">
        <x:v>Cần giáo viên xác nhận</x:v>
      </x:c>
      <x:c r="M157" s="9" t="str"/>
    </x:row>
    <x:row r="158">
      <x:c r="A158" s="8" t="n">
        <x:v>157</x:v>
      </x:c>
      <x:c r="B158" s="9" t="str">
        <x:v>Quan sát Hình 1.5, hãy cho biết dụng cụ được đánh dấu g) trong hình là dụng cụ gì?</x:v>
      </x:c>
      <x:c r="C158" s="9" t="str">
        <x:v>Đũa thuỷ tinh (thanh thuỷ tinh dùng để khuấy, trộn).</x:v>
      </x:c>
      <x:c r="D158" s="10" t="str">
        <x:v>SGK_KHTN_8_CTST</x:v>
      </x:c>
      <x:c r="E158" s="8" t="n">
        <x:v>8</x:v>
      </x:c>
      <x:c r="F158" s="10" t="str"/>
      <x:c r="G158" s="10" t="str">
        <x:v>truc_tiep</x:v>
      </x:c>
      <x:c r="H158" s="10" t="str">
        <x:v>hinh</x:v>
      </x:c>
      <x:c r="I158" s="10" t="str">
        <x:v>Nhận biết</x:v>
      </x:c>
      <x:c r="J158" s="10" t="str">
        <x:v>SGK_KHTN_8_CTST_testset.csv</x:v>
      </x:c>
      <x:c r="K158" s="9" t="str">
        <x:v>Yêu cầu nhớ, nêu, kể tên, nhận diện hoặc lấy lại thông tin trực tiếp.</x:v>
      </x:c>
      <x:c r="L158" s="9" t="str">
        <x:v>Cần giáo viên xác nhận</x:v>
      </x:c>
      <x:c r="M158" s="9" t="str"/>
    </x:row>
    <x:row r="159">
      <x:c r="A159" s="8" t="n">
        <x:v>158</x:v>
      </x:c>
      <x:c r="B159" s="9" t="str">
        <x:v>Quan sát Hình 1.6, hãy liệt kê các hoá chất được trình bày trong hình theo từng thể: rắn, lỏng và khí.</x:v>
      </x:c>
      <x:c r="C159" s="9" t="str">
        <x:v>Thể rắn: kẽm (Zinc, Zn), lưu huỳnh (Sulfur, S), calcium carbonate (CaCO3); thể lỏng: dung dịch copper(II) sulfate (CuSO4) 10%, dung dịch bromine (Br2); thể khí: oxygen (O2).</x:v>
      </x:c>
      <x:c r="D159" s="10" t="str">
        <x:v>SGK_KHTN_8_CTST</x:v>
      </x:c>
      <x:c r="E159" s="8" t="n">
        <x:v>9</x:v>
      </x:c>
      <x:c r="F159" s="10" t="str"/>
      <x:c r="G159" s="10" t="str">
        <x:v>truc_tiep</x:v>
      </x:c>
      <x:c r="H159" s="10" t="str">
        <x:v>hinh</x:v>
      </x:c>
      <x:c r="I159" s="10" t="str">
        <x:v>Nhận biết</x:v>
      </x:c>
      <x:c r="J159" s="10" t="str">
        <x:v>SGK_KHTN_8_CTST_testset.csv</x:v>
      </x:c>
      <x:c r="K159" s="9" t="str">
        <x:v>Yêu cầu nhớ, nêu, kể tên, nhận diện hoặc lấy lại thông tin trực tiếp.</x:v>
      </x:c>
      <x:c r="L159" s="9" t="str">
        <x:v>Cần giáo viên xác nhận</x:v>
      </x:c>
      <x:c r="M159" s="9" t="str"/>
    </x:row>
    <x:row r="160">
      <x:c r="A160" s="8" t="n">
        <x:v>159</x:v>
      </x:c>
      <x:c r="B160" s="9" t="str">
        <x:v>Khi than (thành phần chính là carbon) cháy trong không khí tạo thành khí carbon dioxide, hãy viết phương trình phản ứng dạng chữ và cho biết chất nào là chất phản ứng, chất nào là sản phẩm?</x:v>
      </x:c>
      <x:c r="C160" s="9" t="str">
        <x:v>Phương trình dạng chữ: than + oxygen → carbon dioxide. Chất phản ứng: than (carbon) và oxygen; sản phẩm: khí carbon dioxide.</x:v>
      </x:c>
      <x:c r="D160" s="10" t="str">
        <x:v>SGK_KHTN_8_KNTT</x:v>
      </x:c>
      <x:c r="E160" s="8" t="n">
        <x:v>13</x:v>
      </x:c>
      <x:c r="F160" s="10" t="str">
        <x:v>hoa</x:v>
      </x:c>
      <x:c r="G160" s="10" t="str">
        <x:v>suy_luan</x:v>
      </x:c>
      <x:c r="H160" s="10" t="str">
        <x:v>van_ban</x:v>
      </x:c>
      <x:c r="I160" s="10" t="str">
        <x:v>Vận dụng</x:v>
      </x:c>
      <x:c r="J160" s="10" t="str">
        <x:v>SGK_KHTN_8_KNTT_testset.csv</x:v>
      </x:c>
      <x:c r="K160" s="9" t="str">
        <x:v>Yêu cầu áp dụng kiến thức, quy tắc hoặc phép tính vào tình huống/suy luận cụ thể.</x:v>
      </x:c>
      <x:c r="L160" s="9" t="str">
        <x:v>Cần giáo viên xác nhận</x:v>
      </x:c>
      <x:c r="M160" s="9" t="str"/>
    </x:row>
    <x:row r="161">
      <x:c r="A161" s="8" t="n">
        <x:v>160</x:v>
      </x:c>
      <x:c r="B161" s="9" t="str">
        <x:v>Sinh quyển được định nghĩa là gì?</x:v>
      </x:c>
      <x:c r="C161" s="9" t="str">
        <x:v>Sinh quyển là toàn bộ sinh vật sống trên Trái Đất cùng với các nhân tố vô sinh của môi trường.</x:v>
      </x:c>
      <x:c r="D161" s="10" t="str">
        <x:v>SGK_KHTN_8_KNTT</x:v>
      </x:c>
      <x:c r="E161" s="8" t="n">
        <x:v>185</x:v>
      </x:c>
      <x:c r="F161" s="10" t="str">
        <x:v>sinh</x:v>
      </x:c>
      <x:c r="G161" s="10" t="str">
        <x:v>truc_tiep</x:v>
      </x:c>
      <x:c r="H161" s="10" t="str">
        <x:v>van_ban</x:v>
      </x:c>
      <x:c r="I161" s="10" t="str">
        <x:v>Thông hiểu</x:v>
      </x:c>
      <x:c r="J161" s="10" t="str">
        <x:v>SGK_KHTN_8_KNTT_testset.csv</x:v>
      </x:c>
      <x:c r="K161" s="9" t="str">
        <x:v>Yêu cầu mô tả, giải thích, so sánh hoặc diễn giải ý nghĩa/mối quan hệ.</x:v>
      </x:c>
      <x:c r="L161" s="9" t="str">
        <x:v>Cần giáo viên xác nhận</x:v>
      </x:c>
      <x:c r="M161" s="9" t="str"/>
    </x:row>
    <x:row r="162">
      <x:c r="A162" s="8" t="n">
        <x:v>161</x:v>
      </x:c>
      <x:c r="B162" s="9" t="str">
        <x:v>Khi đốt đèn cồn, ethanol cháy tác dụng với khí oxygen trong không khí tạo thành những chất nào (ngoài việc giải phóng năng lượng)?</x:v>
      </x:c>
      <x:c r="C162" s="9" t="str">
        <x:v>Tạo thành hơi nước và khí carbon dioxide.</x:v>
      </x:c>
      <x:c r="D162" s="10" t="str">
        <x:v>SGK_KHTN_8_KNTT</x:v>
      </x:c>
      <x:c r="E162" s="8" t="n">
        <x:v>14</x:v>
      </x:c>
      <x:c r="F162" s="10" t="str">
        <x:v>hoa</x:v>
      </x:c>
      <x:c r="G162" s="10" t="str">
        <x:v>truc_tiep</x:v>
      </x:c>
      <x:c r="H162" s="10" t="str">
        <x:v>van_ban</x:v>
      </x:c>
      <x:c r="I162" s="10" t="str">
        <x:v>Nhận biết</x:v>
      </x:c>
      <x:c r="J162" s="10" t="str">
        <x:v>SGK_KHTN_8_KNTT_testset.csv</x:v>
      </x:c>
      <x:c r="K162" s="9" t="str">
        <x:v>Yêu cầu nhớ, nêu, kể tên, nhận diện hoặc lấy lại thông tin trực tiếp.</x:v>
      </x:c>
      <x:c r="L162" s="9" t="str">
        <x:v>Cần giáo viên xác nhận</x:v>
      </x:c>
      <x:c r="M162" s="9" t="str"/>
    </x:row>
    <x:row r="163">
      <x:c r="A163" s="8" t="n">
        <x:v>162</x:v>
      </x:c>
      <x:c r="B163" s="9" t="str">
        <x:v>Khi cho dung dịch base tác dụng với giấy quỳ tím và dung dịch phenolphthalein không màu, hiện tượng màu sắc quan sát được là gì?</x:v>
      </x:c>
      <x:c r="C163" s="9" t="str">
        <x:v>Dung dịch base làm giấy quỳ tím chuyển sang màu xanh và làm dung dịch phenolphthalein không màu chuyển sang màu hồng.</x:v>
      </x:c>
      <x:c r="D163" s="10" t="str">
        <x:v>SGK_KHTN_8_KNTT</x:v>
      </x:c>
      <x:c r="E163" s="8" t="n">
        <x:v>43</x:v>
      </x:c>
      <x:c r="F163" s="10" t="str">
        <x:v>hoa</x:v>
      </x:c>
      <x:c r="G163" s="10" t="str">
        <x:v>truc_tiep</x:v>
      </x:c>
      <x:c r="H163" s="10" t="str">
        <x:v>van_ban</x:v>
      </x:c>
      <x:c r="I163" s="10" t="str">
        <x:v>Nhận biết</x:v>
      </x:c>
      <x:c r="J163" s="10" t="str">
        <x:v>SGK_KHTN_8_KNTT_testset.csv</x:v>
      </x:c>
      <x:c r="K163" s="9" t="str">
        <x:v>Yêu cầu nhớ, nêu, kể tên, nhận diện hoặc lấy lại thông tin trực tiếp.</x:v>
      </x:c>
      <x:c r="L163" s="9" t="str">
        <x:v>Cần giáo viên xác nhận</x:v>
      </x:c>
      <x:c r="M163" s="9" t="str"/>
    </x:row>
    <x:row r="164">
      <x:c r="A164" s="8" t="n">
        <x:v>163</x:v>
      </x:c>
      <x:c r="B164" s="9" t="str">
        <x:v>Bất cứ mạch điện nào cũng gồm những bộ phận nào? Cho ví dụ về các thiết bị tiêu thụ năng lượng điện.</x:v>
      </x:c>
      <x:c r="C164" s="9" t="str">
        <x:v>Gồm nguồn điện, dây nối và các thiết bị tiêu thụ năng lượng điện; ví dụ: bóng đèn, động cơ điện, bếp điện, quạt điện, ti vi.</x:v>
      </x:c>
      <x:c r="D164" s="10" t="str">
        <x:v>SGK_KHTN_8_KNTT</x:v>
      </x:c>
      <x:c r="E164" s="8" t="n">
        <x:v>91</x:v>
      </x:c>
      <x:c r="F164" s="10" t="str">
        <x:v>ly</x:v>
      </x:c>
      <x:c r="G164" s="10" t="str">
        <x:v>truc_tiep</x:v>
      </x:c>
      <x:c r="H164" s="10" t="str">
        <x:v>van_ban</x:v>
      </x:c>
      <x:c r="I164" s="10" t="str">
        <x:v>Nhận biết</x:v>
      </x:c>
      <x:c r="J164" s="10" t="str">
        <x:v>SGK_KHTN_8_KNTT_testset.csv</x:v>
      </x:c>
      <x:c r="K164" s="9" t="str">
        <x:v>Yêu cầu nhớ, nêu, kể tên, nhận diện hoặc lấy lại thông tin trực tiếp.</x:v>
      </x:c>
      <x:c r="L164" s="9" t="str">
        <x:v>Cần giáo viên xác nhận</x:v>
      </x:c>
      <x:c r="M164" s="9" t="str"/>
    </x:row>
    <x:row r="165">
      <x:c r="A165" s="8" t="n">
        <x:v>164</x:v>
      </x:c>
      <x:c r="B165" s="9" t="str">
        <x:v>Thính giác ở người có cấu tạo gồm những bộ phận nào và có chức năng gì?</x:v>
      </x:c>
      <x:c r="C165" s="9" t="str">
        <x:v>Cấu tạo gồm tai, dây thần kinh thính giác và vùng thính giác ở não; có chức năng thu nhận âm thanh.</x:v>
      </x:c>
      <x:c r="D165" s="10" t="str">
        <x:v>SGK_KHTN_8_KNTT</x:v>
      </x:c>
      <x:c r="E165" s="8" t="n">
        <x:v>156</x:v>
      </x:c>
      <x:c r="F165" s="10" t="str">
        <x:v>sinh</x:v>
      </x:c>
      <x:c r="G165" s="10" t="str">
        <x:v>truc_tiep</x:v>
      </x:c>
      <x:c r="H165" s="10" t="str">
        <x:v>van_ban</x:v>
      </x:c>
      <x:c r="I165" s="10" t="str">
        <x:v>Thông hiểu</x:v>
      </x:c>
      <x:c r="J165" s="10" t="str">
        <x:v>SGK_KHTN_8_KNTT_testset.csv</x:v>
      </x:c>
      <x:c r="K165" s="9" t="str">
        <x:v>Yêu cầu mô tả, giải thích, so sánh hoặc diễn giải ý nghĩa/mối quan hệ.</x:v>
      </x:c>
      <x:c r="L165" s="9" t="str">
        <x:v>Cần giáo viên xác nhận</x:v>
      </x:c>
      <x:c r="M165" s="9" t="str"/>
    </x:row>
    <x:row r="166">
      <x:c r="A166" s="8" t="n">
        <x:v>165</x:v>
      </x:c>
      <x:c r="B166" s="9" t="str">
        <x:v>Chất lỏng và chất khí (gọi chung là chất lưu) có khả năng dẫn nhiệt tốt hay kém?</x:v>
      </x:c>
      <x:c r="C166" s="9" t="str">
        <x:v>Chất lỏng và chất khí dẫn nhiệt kém.</x:v>
      </x:c>
      <x:c r="D166" s="10" t="str">
        <x:v>SGK_KHTN_8_KNTT</x:v>
      </x:c>
      <x:c r="E166" s="8" t="n">
        <x:v>114</x:v>
      </x:c>
      <x:c r="F166" s="10" t="str">
        <x:v>ly</x:v>
      </x:c>
      <x:c r="G166" s="10" t="str">
        <x:v>truc_tiep</x:v>
      </x:c>
      <x:c r="H166" s="10" t="str">
        <x:v>van_ban</x:v>
      </x:c>
      <x:c r="I166" s="10" t="str">
        <x:v>Thông hiểu</x:v>
      </x:c>
      <x:c r="J166" s="10" t="str">
        <x:v>SGK_KHTN_8_KNTT_testset.csv</x:v>
      </x:c>
      <x:c r="K166" s="9" t="str">
        <x:v>Yêu cầu mô tả, giải thích, so sánh hoặc diễn giải ý nghĩa/mối quan hệ.</x:v>
      </x:c>
      <x:c r="L166" s="9" t="str">
        <x:v>Cần giáo viên xác nhận</x:v>
      </x:c>
      <x:c r="M166" s="9" t="str"/>
    </x:row>
    <x:row r="167">
      <x:c r="A167" s="8" t="n">
        <x:v>166</x:v>
      </x:c>
      <x:c r="B167" s="9" t="str">
        <x:v>Theo một số tài liệu, đòn bẩy không cho lợi về lực (điểm tựa nằm ngoài khoảng giữa hai điểm đặt lực, lực F1 nằm gần điểm tựa hơn lực F2) còn được gọi là gì?</x:v>
      </x:c>
      <x:c r="C167" s="9" t="str">
        <x:v>Đòn bẩy loại 3.</x:v>
      </x:c>
      <x:c r="D167" s="10" t="str">
        <x:v>SGK_KHTN_8_KNTT</x:v>
      </x:c>
      <x:c r="E167" s="8" t="n">
        <x:v>80</x:v>
      </x:c>
      <x:c r="F167" s="10" t="str">
        <x:v>ly</x:v>
      </x:c>
      <x:c r="G167" s="10" t="str">
        <x:v>truc_tiep</x:v>
      </x:c>
      <x:c r="H167" s="10" t="str">
        <x:v>van_ban</x:v>
      </x:c>
      <x:c r="I167" s="10" t="str">
        <x:v>Nhận biết</x:v>
      </x:c>
      <x:c r="J167" s="10" t="str">
        <x:v>SGK_KHTN_8_KNTT_testset.csv</x:v>
      </x:c>
      <x:c r="K167" s="9" t="str">
        <x:v>Yêu cầu nhớ, nêu, kể tên, nhận diện hoặc lấy lại thông tin trực tiếp.</x:v>
      </x:c>
      <x:c r="L167" s="9" t="str">
        <x:v>Cần giáo viên xác nhận</x:v>
      </x:c>
      <x:c r="M167" s="9" t="str"/>
    </x:row>
    <x:row r="168">
      <x:c r="A168" s="8" t="n">
        <x:v>167</x:v>
      </x:c>
      <x:c r="B168" s="9" t="str">
        <x:v>Vòi tai là bộ phận gì trong tai người và có nhiệm vụ gì?</x:v>
      </x:c>
      <x:c r="C168" s="9" t="str">
        <x:v>Vòi tai là ống nối tai giữa với vòm mũi, họng; có nhiệm vụ điều hòa và cân bằng áp suất hai bên màng nhĩ.</x:v>
      </x:c>
      <x:c r="D168" s="10" t="str">
        <x:v>SGK_KHTN_8_KNTT</x:v>
      </x:c>
      <x:c r="E168" s="8" t="n">
        <x:v>70</x:v>
      </x:c>
      <x:c r="F168" s="10" t="str">
        <x:v>ly</x:v>
      </x:c>
      <x:c r="G168" s="10" t="str">
        <x:v>truc_tiep</x:v>
      </x:c>
      <x:c r="H168" s="10" t="str">
        <x:v>van_ban</x:v>
      </x:c>
      <x:c r="I168" s="10" t="str">
        <x:v>Thông hiểu</x:v>
      </x:c>
      <x:c r="J168" s="10" t="str">
        <x:v>SGK_KHTN_8_KNTT_testset.csv</x:v>
      </x:c>
      <x:c r="K168" s="9" t="str">
        <x:v>Yêu cầu mô tả, giải thích, so sánh hoặc diễn giải ý nghĩa/mối quan hệ.</x:v>
      </x:c>
      <x:c r="L168" s="9" t="str">
        <x:v>Cần giáo viên xác nhận</x:v>
      </x:c>
      <x:c r="M168" s="9" t="str"/>
    </x:row>
    <x:row r="169">
      <x:c r="A169" s="8" t="n">
        <x:v>168</x:v>
      </x:c>
      <x:c r="B169" s="9" t="str">
        <x:v>Những dấu hiệu nào cho thấy đã có chất mới tạo thành, tức phản ứng hoá học đã xảy ra?</x:v>
      </x:c>
      <x:c r="C169" s="9" t="str">
        <x:v>Sự thay đổi về màu sắc, xuất hiện chất khí hoặc xuất hiện chất kết tủa; ngoài ra sự toả nhiệt và phát sáng cũng có thể là dấu hiệu phản ứng hoá học đã xảy ra.</x:v>
      </x:c>
      <x:c r="D169" s="10" t="str">
        <x:v>SGK_KHTN_8_KNTT</x:v>
      </x:c>
      <x:c r="E169" s="8" t="n">
        <x:v>13</x:v>
      </x:c>
      <x:c r="F169" s="10" t="str">
        <x:v>hoa</x:v>
      </x:c>
      <x:c r="G169" s="10" t="str">
        <x:v>truc_tiep</x:v>
      </x:c>
      <x:c r="H169" s="10" t="str">
        <x:v>van_ban</x:v>
      </x:c>
      <x:c r="I169" s="10" t="str">
        <x:v>Nhận biết</x:v>
      </x:c>
      <x:c r="J169" s="10" t="str">
        <x:v>SGK_KHTN_8_KNTT_testset.csv</x:v>
      </x:c>
      <x:c r="K169" s="9" t="str">
        <x:v>Yêu cầu nhớ, nêu, kể tên, nhận diện hoặc lấy lại thông tin trực tiếp.</x:v>
      </x:c>
      <x:c r="L169" s="9" t="str">
        <x:v>Cần giáo viên xác nhận</x:v>
      </x:c>
      <x:c r="M169" s="9" t="str"/>
    </x:row>
    <x:row r="170">
      <x:c r="A170" s="8" t="n">
        <x:v>169</x:v>
      </x:c>
      <x:c r="B170" s="9" t="str">
        <x:v>Phản ứng phân huỷ copper(II) hydroxide thành copper(II) oxide và hơi nước là phản ứng toả nhiệt hay thu nhiệt? Điều gì xảy ra khi ngừng cung cấp nhiệt?</x:v>
      </x:c>
      <x:c r="C170" s="9" t="str">
        <x:v>Đây là phản ứng thu nhiệt vì cần cung cấp năng lượng dưới dạng nhiệt (bằng cách đun nóng); khi ngừng cung cấp nhiệt thì phản ứng cũng dừng lại.</x:v>
      </x:c>
      <x:c r="D170" s="10" t="str">
        <x:v>SGK_KHTN_8_KNTT</x:v>
      </x:c>
      <x:c r="E170" s="8" t="n">
        <x:v>14</x:v>
      </x:c>
      <x:c r="F170" s="10" t="str">
        <x:v>hoa</x:v>
      </x:c>
      <x:c r="G170" s="10" t="str">
        <x:v>truc_tiep</x:v>
      </x:c>
      <x:c r="H170" s="10" t="str">
        <x:v>van_ban</x:v>
      </x:c>
      <x:c r="I170" s="10" t="str">
        <x:v>Thông hiểu</x:v>
      </x:c>
      <x:c r="J170" s="10" t="str">
        <x:v>SGK_KHTN_8_KNTT_testset.csv</x:v>
      </x:c>
      <x:c r="K170" s="9" t="str">
        <x:v>Yêu cầu mô tả, giải thích, so sánh hoặc diễn giải ý nghĩa/mối quan hệ.</x:v>
      </x:c>
      <x:c r="L170" s="9" t="str">
        <x:v>Cần giáo viên xác nhận</x:v>
      </x:c>
      <x:c r="M170" s="9" t="str"/>
    </x:row>
    <x:row r="171">
      <x:c r="A171" s="8" t="n">
        <x:v>170</x:v>
      </x:c>
      <x:c r="B171" s="9" t="str">
        <x:v>Base là những hợp chất như thế nào về cấu tạo phân tử và khi tan trong nước chúng tạo ra ion gì?</x:v>
      </x:c>
      <x:c r="C171" s="9" t="str">
        <x:v>Base là những hợp chất trong phân tử có nguyên tử kim loại liên kết với nhóm hydroxide; khi tan trong nước, base tạo ra ion OH-.</x:v>
      </x:c>
      <x:c r="D171" s="10" t="str">
        <x:v>SGK_KHTN_8_KNTT</x:v>
      </x:c>
      <x:c r="E171" s="8" t="n">
        <x:v>43</x:v>
      </x:c>
      <x:c r="F171" s="10" t="str">
        <x:v>hoa</x:v>
      </x:c>
      <x:c r="G171" s="10" t="str">
        <x:v>truc_tiep</x:v>
      </x:c>
      <x:c r="H171" s="10" t="str">
        <x:v>van_ban</x:v>
      </x:c>
      <x:c r="I171" s="10" t="str">
        <x:v>Nhận biết</x:v>
      </x:c>
      <x:c r="J171" s="10" t="str">
        <x:v>SGK_KHTN_8_KNTT_testset.csv</x:v>
      </x:c>
      <x:c r="K171" s="9" t="str">
        <x:v>Yêu cầu nhớ, nêu, kể tên, nhận diện hoặc lấy lại thông tin trực tiếp.</x:v>
      </x:c>
      <x:c r="L171" s="9" t="str">
        <x:v>Cần giáo viên xác nhận</x:v>
      </x:c>
      <x:c r="M171" s="9" t="str"/>
    </x:row>
    <x:row r="172">
      <x:c r="A172" s="8" t="n">
        <x:v>171</x:v>
      </x:c>
      <x:c r="B172" s="9" t="str">
        <x:v>Người ta sử dụng kí hiệu biểu thị các bộ phận của mạch điện (như Bảng 22.1) nhằm mục đích gì?</x:v>
      </x:c>
      <x:c r="C172" s="9" t="str">
        <x:v>Nhằm mô tả đơn giản một mạch điện và lắp mạch điện đơn giản đúng yêu cầu.</x:v>
      </x:c>
      <x:c r="D172" s="10" t="str">
        <x:v>SGK_KHTN_8_KNTT</x:v>
      </x:c>
      <x:c r="E172" s="8" t="n">
        <x:v>91</x:v>
      </x:c>
      <x:c r="F172" s="10" t="str">
        <x:v>ly</x:v>
      </x:c>
      <x:c r="G172" s="10" t="str">
        <x:v>truc_tiep</x:v>
      </x:c>
      <x:c r="H172" s="10" t="str">
        <x:v>van_ban</x:v>
      </x:c>
      <x:c r="I172" s="10" t="str">
        <x:v>Thông hiểu</x:v>
      </x:c>
      <x:c r="J172" s="10" t="str">
        <x:v>SGK_KHTN_8_KNTT_testset.csv</x:v>
      </x:c>
      <x:c r="K172" s="9" t="str">
        <x:v>Yêu cầu mô tả, giải thích, so sánh hoặc diễn giải ý nghĩa/mối quan hệ.</x:v>
      </x:c>
      <x:c r="L172" s="9" t="str">
        <x:v>Cần giáo viên xác nhận</x:v>
      </x:c>
      <x:c r="M172" s="9" t="str"/>
    </x:row>
    <x:row r="173">
      <x:c r="A173" s="8" t="n">
        <x:v>172</x:v>
      </x:c>
      <x:c r="B173" s="9" t="str">
        <x:v>So sánh nguyên nhân gây bệnh viêm tai giữa và bệnh ù tai về thính giác, hai bệnh này có nguyên nhân gây bệnh chung nào?</x:v>
      </x:c>
      <x:c r="C173" s="9" t="str">
        <x:v>Thiếu máu não (cùng với các nguyên nhân khác như nước bẩn lọt vào tai, ráy tai nhiễm khuẩn, nhiễm lạnh, biến chứng từ bệnh vùng mũi họng đối với viêm tai giữa; tiếng ồn lớn, ráy tai nhiều gây tắc nghẽn, dị vật ở tai đối với ù tai).</x:v>
      </x:c>
      <x:c r="D173" s="10" t="str">
        <x:v>SGK_KHTN_8_KNTT</x:v>
      </x:c>
      <x:c r="E173" s="8" t="n">
        <x:v>156</x:v>
      </x:c>
      <x:c r="F173" s="10" t="str">
        <x:v>sinh</x:v>
      </x:c>
      <x:c r="G173" s="10" t="str">
        <x:v>suy_luan</x:v>
      </x:c>
      <x:c r="H173" s="10" t="str">
        <x:v>van_ban</x:v>
      </x:c>
      <x:c r="I173" s="10" t="str">
        <x:v>Thông hiểu</x:v>
      </x:c>
      <x:c r="J173" s="10" t="str">
        <x:v>SGK_KHTN_8_KNTT_testset.csv</x:v>
      </x:c>
      <x:c r="K173" s="9" t="str">
        <x:v>Yêu cầu mô tả, giải thích, so sánh hoặc diễn giải ý nghĩa/mối quan hệ.</x:v>
      </x:c>
      <x:c r="L173" s="9" t="str">
        <x:v>Cần giáo viên xác nhận</x:v>
      </x:c>
      <x:c r="M173" s="9" t="str"/>
    </x:row>
    <x:row r="174">
      <x:c r="A174" s="8" t="n">
        <x:v>173</x:v>
      </x:c>
      <x:c r="B174" s="9" t="str">
        <x:v>Hiện tượng truyền nhiệt nhờ các dòng nước nóng, lạnh di chuyển ngược chiều nhau (dòng đối lưu) được gọi là gì?</x:v>
      </x:c>
      <x:c r="C174" s="9" t="str">
        <x:v>Sự đối lưu.</x:v>
      </x:c>
      <x:c r="D174" s="10" t="str">
        <x:v>SGK_KHTN_8_KNTT</x:v>
      </x:c>
      <x:c r="E174" s="8" t="n">
        <x:v>114</x:v>
      </x:c>
      <x:c r="F174" s="10" t="str">
        <x:v>ly</x:v>
      </x:c>
      <x:c r="G174" s="10" t="str">
        <x:v>truc_tiep</x:v>
      </x:c>
      <x:c r="H174" s="10" t="str">
        <x:v>van_ban</x:v>
      </x:c>
      <x:c r="I174" s="10" t="str">
        <x:v>Nhận biết</x:v>
      </x:c>
      <x:c r="J174" s="10" t="str">
        <x:v>SGK_KHTN_8_KNTT_testset.csv</x:v>
      </x:c>
      <x:c r="K174" s="9" t="str">
        <x:v>Yêu cầu nhớ, nêu, kể tên, nhận diện hoặc lấy lại thông tin trực tiếp.</x:v>
      </x:c>
      <x:c r="L174" s="9" t="str">
        <x:v>Cần giáo viên xác nhận</x:v>
      </x:c>
      <x:c r="M174" s="9" t="str"/>
    </x:row>
    <x:row r="175">
      <x:c r="A175" s="8" t="n">
        <x:v>174</x:v>
      </x:c>
      <x:c r="B175" s="9" t="str">
        <x:v>Đòn bẩy loại 1 có đặc điểm gì về vị trí của điểm tựa O so với điểm đặt của hai lực?</x:v>
      </x:c>
      <x:c r="C175" s="9" t="str">
        <x:v>Điểm tựa O nằm trong khoảng giữa điểm đặt O1, O2 của các lực F1 và F2.</x:v>
      </x:c>
      <x:c r="D175" s="10" t="str">
        <x:v>SGK_KHTN_8_KNTT</x:v>
      </x:c>
      <x:c r="E175" s="8" t="n">
        <x:v>80</x:v>
      </x:c>
      <x:c r="F175" s="10" t="str">
        <x:v>ly</x:v>
      </x:c>
      <x:c r="G175" s="10" t="str">
        <x:v>truc_tiep</x:v>
      </x:c>
      <x:c r="H175" s="10" t="str">
        <x:v>van_ban</x:v>
      </x:c>
      <x:c r="I175" s="10" t="str">
        <x:v>Nhận biết</x:v>
      </x:c>
      <x:c r="J175" s="10" t="str">
        <x:v>SGK_KHTN_8_KNTT_testset.csv</x:v>
      </x:c>
      <x:c r="K175" s="9" t="str">
        <x:v>Yêu cầu nhớ, nêu, kể tên, nhận diện hoặc lấy lại thông tin trực tiếp.</x:v>
      </x:c>
      <x:c r="L175" s="9" t="str">
        <x:v>Cần giáo viên xác nhận</x:v>
      </x:c>
      <x:c r="M175" s="9" t="str"/>
    </x:row>
    <x:row r="176">
      <x:c r="A176" s="8" t="n">
        <x:v>175</x:v>
      </x:c>
      <x:c r="B176" s="9" t="str">
        <x:v>Quan sát Hình 1.2, hãy cho biết dụng cụ thí nghiệm được đánh dấu e) trong hình có tên gọi là gì?</x:v>
      </x:c>
      <x:c r="C176" s="9" t="str">
        <x:v>Ống đong (bình chia độ).</x:v>
      </x:c>
      <x:c r="D176" s="10" t="str">
        <x:v>SGK_KHTN_8_KNTT</x:v>
      </x:c>
      <x:c r="E176" s="8" t="n">
        <x:v>7</x:v>
      </x:c>
      <x:c r="F176" s="10" t="str"/>
      <x:c r="G176" s="10" t="str">
        <x:v>truc_tiep</x:v>
      </x:c>
      <x:c r="H176" s="10" t="str">
        <x:v>hinh</x:v>
      </x:c>
      <x:c r="I176" s="10" t="str">
        <x:v>Nhận biết</x:v>
      </x:c>
      <x:c r="J176" s="10" t="str">
        <x:v>SGK_KHTN_8_KNTT_testset.csv</x:v>
      </x:c>
      <x:c r="K176" s="9" t="str">
        <x:v>Yêu cầu nhớ, nêu, kể tên, nhận diện hoặc lấy lại thông tin trực tiếp.</x:v>
      </x:c>
      <x:c r="L176" s="9" t="str">
        <x:v>Cần giáo viên xác nhận</x:v>
      </x:c>
      <x:c r="M176" s="9" t="str"/>
    </x:row>
    <x:row r="177">
      <x:c r="A177" s="8" t="n">
        <x:v>176</x:v>
      </x:c>
      <x:c r="B177" s="9" t="str">
        <x:v>Quan sát Hình 1.5, hãy cho biết trên biến áp nguồn có bộ phận nào dùng để chọn điện áp đầu ra phù hợp với thí nghiệm, và các chốt cắm dây của nguồn có màu gì?</x:v>
      </x:c>
      <x:c r="C177" s="9" t="str">
        <x:v>Có nút vặn (núm xoay) để chọn/chỉnh điện áp đầu ra một chiều (DC); các chốt cắm gồm chốt màu đỏ (cực dương) và chốt màu đen (cực âm).</x:v>
      </x:c>
      <x:c r="D177" s="10" t="str">
        <x:v>SGK_KHTN_8_KNTT</x:v>
      </x:c>
      <x:c r="E177" s="8" t="n">
        <x:v>9</x:v>
      </x:c>
      <x:c r="F177" s="10" t="str"/>
      <x:c r="G177" s="10" t="str">
        <x:v>truc_tiep</x:v>
      </x:c>
      <x:c r="H177" s="10" t="str">
        <x:v>hinh</x:v>
      </x:c>
      <x:c r="I177" s="10" t="str">
        <x:v>Nhận biết</x:v>
      </x:c>
      <x:c r="J177" s="10" t="str">
        <x:v>SGK_KHTN_8_KNTT_testset.csv</x:v>
      </x:c>
      <x:c r="K177" s="9" t="str">
        <x:v>Yêu cầu nhớ, nêu, kể tên, nhận diện hoặc lấy lại thông tin trực tiếp.</x:v>
      </x:c>
      <x:c r="L177" s="9" t="str">
        <x:v>Cần giáo viên xác nhận</x:v>
      </x:c>
      <x:c r="M177" s="9" t="str"/>
    </x:row>
    <x:row r="178">
      <x:c r="A178" s="8" t="n">
        <x:v>177</x:v>
      </x:c>
      <x:c r="B178" s="9" t="str">
        <x:v>Quan sát nhãn hoá chất bên phải trong Hình 1.1, kí hiệu hình thoi màu đỏ trên nhãn có ý nghĩa gì?</x:v>
      </x:c>
      <x:c r="C178" s="9" t="str">
        <x:v>Kí hiệu hình thoi màu đỏ trên nhãn hoá chất là kí hiệu cảnh báo nguy hiểm (hoá chất có tính ăn mòn/gây hại), nhắc người sử dụng phải cẩn thận và tuân thủ quy tắc an toàn khi tiếp xúc.</x:v>
      </x:c>
      <x:c r="D178" s="10" t="str">
        <x:v>SGK_KHTN_8_KNTT</x:v>
      </x:c>
      <x:c r="E178" s="8" t="n">
        <x:v>6</x:v>
      </x:c>
      <x:c r="F178" s="10" t="str"/>
      <x:c r="G178" s="10" t="str">
        <x:v>truc_tiep</x:v>
      </x:c>
      <x:c r="H178" s="10" t="str">
        <x:v>hinh</x:v>
      </x:c>
      <x:c r="I178" s="10" t="str">
        <x:v>Nhận biết</x:v>
      </x:c>
      <x:c r="J178" s="10" t="str">
        <x:v>SGK_KHTN_8_KNTT_testset.csv</x:v>
      </x:c>
      <x:c r="K178" s="9" t="str">
        <x:v>Yêu cầu nhớ, nêu, kể tên, nhận diện hoặc lấy lại thông tin trực tiếp.</x:v>
      </x:c>
      <x:c r="L178" s="9" t="str">
        <x:v>Cần giáo viên xác nhận</x:v>
      </x:c>
      <x:c r="M178" s="9" t="str"/>
    </x:row>
    <x:row r="179">
      <x:c r="A179" s="8" t="n">
        <x:v>178</x:v>
      </x:c>
      <x:c r="B179" s="9" t="str">
        <x:v>Quan sát Hình 1.3, hãy kể tên các mẫu chất lỏng được đo pH trong hình.</x:v>
      </x:c>
      <x:c r="C179" s="9" t="str">
        <x:v>Các mẫu được đo pH trong Hình 1.3 gồm: a) nước máy; b) nước mưa; ... g) nước vôi trong.</x:v>
      </x:c>
      <x:c r="D179" s="10" t="str">
        <x:v>SGK_KHTN_8_KNTT</x:v>
      </x:c>
      <x:c r="E179" s="8" t="n">
        <x:v>8</x:v>
      </x:c>
      <x:c r="F179" s="10" t="str"/>
      <x:c r="G179" s="10" t="str">
        <x:v>truc_tiep</x:v>
      </x:c>
      <x:c r="H179" s="10" t="str">
        <x:v>hinh</x:v>
      </x:c>
      <x:c r="I179" s="10" t="str">
        <x:v>Nhận biết</x:v>
      </x:c>
      <x:c r="J179" s="10" t="str">
        <x:v>SGK_KHTN_8_KNTT_testset.csv</x:v>
      </x:c>
      <x:c r="K179" s="9" t="str">
        <x:v>Yêu cầu nhớ, nêu, kể tên, nhận diện hoặc lấy lại thông tin trực tiếp.</x:v>
      </x:c>
      <x:c r="L179" s="9" t="str">
        <x:v>Cần giáo viên xác nhận</x:v>
      </x:c>
      <x:c r="M179" s="9" t="str"/>
    </x:row>
    <x:row r="180">
      <x:c r="A180" s="8" t="n">
        <x:v>179</x:v>
      </x:c>
      <x:c r="B180" s="9" t="str">
        <x:v>Theo nội dung về lợi ích của tài nguyên trong vỏ Trái Đất, hãy kể tên các nhiên liệu được khai thác từ vỏ Trái Đất để tạo ra năng lượng phục vụ cho quá trình sản xuất và sinh hoạt của con người.</x:v>
      </x:c>
      <x:c r="C180" s="9" t="str">
        <x:v>Than mỏ, dầu mỏ, khí thiên nhiên.</x:v>
      </x:c>
      <x:c r="D180" s="10" t="str">
        <x:v>SGK_KHTN_9_CD</x:v>
      </x:c>
      <x:c r="E180" s="8" t="n">
        <x:v>147</x:v>
      </x:c>
      <x:c r="F180" s="10" t="str">
        <x:v>khac</x:v>
      </x:c>
      <x:c r="G180" s="10" t="str">
        <x:v>truc_tiep</x:v>
      </x:c>
      <x:c r="H180" s="10" t="str">
        <x:v>van_ban</x:v>
      </x:c>
      <x:c r="I180" s="10" t="str">
        <x:v>Nhận biết</x:v>
      </x:c>
      <x:c r="J180" s="10" t="str">
        <x:v>SGK_KHTN_9_CD_testset.csv</x:v>
      </x:c>
      <x:c r="K180" s="9" t="str">
        <x:v>Yêu cầu nhớ, nêu, kể tên, nhận diện hoặc lấy lại thông tin trực tiếp.</x:v>
      </x:c>
      <x:c r="L180" s="9" t="str">
        <x:v>Cần giáo viên xác nhận</x:v>
      </x:c>
      <x:c r="M180" s="9" t="str"/>
    </x:row>
    <x:row r="181">
      <x:c r="A181" s="8" t="n">
        <x:v>180</x:v>
      </x:c>
      <x:c r="B181" s="9" t="str">
        <x:v>Việc ăn quá nhiều tinh bột sẽ gây tác động không tốt như thế nào đối với sức khỏe con người?</x:v>
      </x:c>
      <x:c r="C181" s="9" t="str">
        <x:v>Dẫn tới nguy cơ mắc các bệnh béo phì, tiểu đường,...</x:v>
      </x:c>
      <x:c r="D181" s="10" t="str">
        <x:v>SGK_KHTN_9_CD</x:v>
      </x:c>
      <x:c r="E181" s="8" t="n">
        <x:v>134</x:v>
      </x:c>
      <x:c r="F181" s="10" t="str">
        <x:v>hoa</x:v>
      </x:c>
      <x:c r="G181" s="10" t="str">
        <x:v>truc_tiep</x:v>
      </x:c>
      <x:c r="H181" s="10" t="str">
        <x:v>van_ban</x:v>
      </x:c>
      <x:c r="I181" s="10" t="str">
        <x:v>Thông hiểu</x:v>
      </x:c>
      <x:c r="J181" s="10" t="str">
        <x:v>SGK_KHTN_9_CD_testset.csv</x:v>
      </x:c>
      <x:c r="K181" s="9" t="str">
        <x:v>Yêu cầu mô tả, giải thích, so sánh hoặc diễn giải ý nghĩa/mối quan hệ.</x:v>
      </x:c>
      <x:c r="L181" s="9" t="str">
        <x:v>Cần giáo viên xác nhận</x:v>
      </x:c>
      <x:c r="M181" s="9" t="str"/>
    </x:row>
    <x:row r="182">
      <x:c r="A182" s="8" t="n">
        <x:v>181</x:v>
      </x:c>
      <x:c r="B182" s="9" t="str">
        <x:v>Ở nhiệt độ cao, sắt (iron - Fe) tác dụng với lưu huỳnh (sulfur - S) tạo ra muối gì?</x:v>
      </x:c>
      <x:c r="C182" s="9" t="str">
        <x:v>Muối iron(II) sulfide (FeS)</x:v>
      </x:c>
      <x:c r="D182" s="10" t="str">
        <x:v>SGK_KHTN_9_CD</x:v>
      </x:c>
      <x:c r="E182" s="8" t="n">
        <x:v>80</x:v>
      </x:c>
      <x:c r="F182" s="10" t="str">
        <x:v>hoa</x:v>
      </x:c>
      <x:c r="G182" s="10" t="str">
        <x:v>truc_tiep</x:v>
      </x:c>
      <x:c r="H182" s="10" t="str">
        <x:v>van_ban</x:v>
      </x:c>
      <x:c r="I182" s="10" t="str">
        <x:v>Nhận biết</x:v>
      </x:c>
      <x:c r="J182" s="10" t="str">
        <x:v>SGK_KHTN_9_CD_testset.csv</x:v>
      </x:c>
      <x:c r="K182" s="9" t="str">
        <x:v>Yêu cầu nhớ, nêu, kể tên, nhận diện hoặc lấy lại thông tin trực tiếp.</x:v>
      </x:c>
      <x:c r="L182" s="9" t="str">
        <x:v>Cần giáo viên xác nhận</x:v>
      </x:c>
      <x:c r="M182" s="9" t="str"/>
    </x:row>
    <x:row r="183">
      <x:c r="A183" s="8" t="n">
        <x:v>182</x:v>
      </x:c>
      <x:c r="B183" s="9" t="str">
        <x:v>Trong công thức tính năng lượng của dòng điện trong một đoạn mạch W = UIt, hiệu điện thế U và cường độ dòng điện I có đơn vị đo lần lượt là gì?</x:v>
      </x:c>
      <x:c r="C183" s="9" t="str">
        <x:v>U đo bằng vôn (V); I đo bằng ampe (A)</x:v>
      </x:c>
      <x:c r="D183" s="10" t="str">
        <x:v>SGK_KHTN_9_CD</x:v>
      </x:c>
      <x:c r="E183" s="8" t="n">
        <x:v>53</x:v>
      </x:c>
      <x:c r="F183" s="10" t="str">
        <x:v>ly</x:v>
      </x:c>
      <x:c r="G183" s="10" t="str">
        <x:v>truc_tiep</x:v>
      </x:c>
      <x:c r="H183" s="10" t="str">
        <x:v>van_ban</x:v>
      </x:c>
      <x:c r="I183" s="10" t="str">
        <x:v>Nhận biết</x:v>
      </x:c>
      <x:c r="J183" s="10" t="str">
        <x:v>SGK_KHTN_9_CD_testset.csv</x:v>
      </x:c>
      <x:c r="K183" s="9" t="str">
        <x:v>Yêu cầu nhớ, nêu, kể tên, nhận diện hoặc lấy lại thông tin trực tiếp.</x:v>
      </x:c>
      <x:c r="L183" s="9" t="str">
        <x:v>Cần giáo viên xác nhận</x:v>
      </x:c>
      <x:c r="M183" s="9" t="str"/>
    </x:row>
    <x:row r="184">
      <x:c r="A184" s="8" t="n">
        <x:v>183</x:v>
      </x:c>
      <x:c r="B184" s="9" t="str">
        <x:v>Khoảng cách từ tiêu điểm chính đến quang tâm của thấu kính (OF = f) được gọi là gì?</x:v>
      </x:c>
      <x:c r="C184" s="9" t="str">
        <x:v>Được gọi là tiêu cự của thấu kính.</x:v>
      </x:c>
      <x:c r="D184" s="10" t="str">
        <x:v>SGK_KHTN_9_CD</x:v>
      </x:c>
      <x:c r="E184" s="8" t="n">
        <x:v>31</x:v>
      </x:c>
      <x:c r="F184" s="10" t="str">
        <x:v>ly</x:v>
      </x:c>
      <x:c r="G184" s="10" t="str">
        <x:v>truc_tiep</x:v>
      </x:c>
      <x:c r="H184" s="10" t="str">
        <x:v>van_ban</x:v>
      </x:c>
      <x:c r="I184" s="10" t="str">
        <x:v>Nhận biết</x:v>
      </x:c>
      <x:c r="J184" s="10" t="str">
        <x:v>SGK_KHTN_9_CD_testset.csv</x:v>
      </x:c>
      <x:c r="K184" s="9" t="str">
        <x:v>Yêu cầu nhớ, nêu, kể tên, nhận diện hoặc lấy lại thông tin trực tiếp.</x:v>
      </x:c>
      <x:c r="L184" s="9" t="str">
        <x:v>Cần giáo viên xác nhận</x:v>
      </x:c>
      <x:c r="M184" s="9" t="str"/>
    </x:row>
    <x:row r="185">
      <x:c r="A185" s="8" t="n">
        <x:v>184</x:v>
      </x:c>
      <x:c r="B185" s="9" t="str">
        <x:v>Trong thí nghiệm thực hành đo tiêu cự của thấu kính hội tụ, mục đích của thí nghiệm là gì?</x:v>
      </x:c>
      <x:c r="C185" s="9" t="str">
        <x:v>Đo được tiêu cự của thấu kính hội tụ bằng dụng cụ thực hành.</x:v>
      </x:c>
      <x:c r="D185" s="10" t="str">
        <x:v>SGK_KHTN_9_CD</x:v>
      </x:c>
      <x:c r="E185" s="8" t="n">
        <x:v>37</x:v>
      </x:c>
      <x:c r="F185" s="10" t="str">
        <x:v>ly</x:v>
      </x:c>
      <x:c r="G185" s="10" t="str">
        <x:v>truc_tiep</x:v>
      </x:c>
      <x:c r="H185" s="10" t="str">
        <x:v>van_ban</x:v>
      </x:c>
      <x:c r="I185" s="10" t="str">
        <x:v>Thông hiểu</x:v>
      </x:c>
      <x:c r="J185" s="10" t="str">
        <x:v>SGK_KHTN_9_CD_testset.csv</x:v>
      </x:c>
      <x:c r="K185" s="9" t="str">
        <x:v>Yêu cầu mô tả, giải thích, so sánh hoặc diễn giải ý nghĩa/mối quan hệ.</x:v>
      </x:c>
      <x:c r="L185" s="9" t="str">
        <x:v>Cần giáo viên xác nhận</x:v>
      </x:c>
      <x:c r="M185" s="9" t="str"/>
    </x:row>
    <x:row r="186">
      <x:c r="A186" s="8" t="n">
        <x:v>185</x:v>
      </x:c>
      <x:c r="B186" s="9" t="str">
        <x:v>Carbohydrate là tên gọi của nhóm các hợp chất chứa những nguyên tố hoá học nào?</x:v>
      </x:c>
      <x:c r="C186" s="9" t="str">
        <x:v>Chứa ba nguyên tố C, H, O (carbon, hydrogen, oxygen), với công thức chung Cn(H2O)m trong đó n &gt; m.</x:v>
      </x:c>
      <x:c r="D186" s="10" t="str">
        <x:v>SGK_KHTN_9_CD</x:v>
      </x:c>
      <x:c r="E186" s="8" t="n">
        <x:v>127</x:v>
      </x:c>
      <x:c r="F186" s="10" t="str">
        <x:v>hoa</x:v>
      </x:c>
      <x:c r="G186" s="10" t="str">
        <x:v>truc_tiep</x:v>
      </x:c>
      <x:c r="H186" s="10" t="str">
        <x:v>van_ban</x:v>
      </x:c>
      <x:c r="I186" s="10" t="str">
        <x:v>Nhận biết</x:v>
      </x:c>
      <x:c r="J186" s="10" t="str">
        <x:v>SGK_KHTN_9_CD_testset.csv</x:v>
      </x:c>
      <x:c r="K186" s="9" t="str">
        <x:v>Yêu cầu nhớ, nêu, kể tên, nhận diện hoặc lấy lại thông tin trực tiếp.</x:v>
      </x:c>
      <x:c r="L186" s="9" t="str">
        <x:v>Cần giáo viên xác nhận</x:v>
      </x:c>
      <x:c r="M186" s="9" t="str"/>
    </x:row>
    <x:row r="187">
      <x:c r="A187" s="8" t="n">
        <x:v>186</x:v>
      </x:c>
      <x:c r="B187" s="9" t="str">
        <x:v>Dòng điện trong kim loại là dòng các electron chuyển dời ngược chiều dòng điện. Nếu trong đoạn mạch MN gồm hai điện trở mắc nối tiếp, các electron dịch chuyển qua các điện trở và các ampe kế theo chiều từ N tới M thì chiều dòng điện quy ước trong đoạn mạch đó là chiều nào?</x:v>
      </x:c>
      <x:c r="C187" s="9" t="str">
        <x:v>Chiều dòng điện quy ước là từ M tới N (ngược với chiều chuyển dời của electron)</x:v>
      </x:c>
      <x:c r="D187" s="10" t="str">
        <x:v>SGK_KHTN_9_CD</x:v>
      </x:c>
      <x:c r="E187" s="8" t="n">
        <x:v>46</x:v>
      </x:c>
      <x:c r="F187" s="10" t="str">
        <x:v>ly</x:v>
      </x:c>
      <x:c r="G187" s="10" t="str">
        <x:v>suy_luan</x:v>
      </x:c>
      <x:c r="H187" s="10" t="str">
        <x:v>van_ban</x:v>
      </x:c>
      <x:c r="I187" s="10" t="str">
        <x:v>Vận dụng</x:v>
      </x:c>
      <x:c r="J187" s="10" t="str">
        <x:v>SGK_KHTN_9_CD_testset.csv</x:v>
      </x:c>
      <x:c r="K187" s="9" t="str">
        <x:v>Yêu cầu áp dụng kiến thức, quy tắc hoặc phép tính vào tình huống/suy luận cụ thể.</x:v>
      </x:c>
      <x:c r="L187" s="9" t="str">
        <x:v>Cần giáo viên xác nhận</x:v>
      </x:c>
      <x:c r="M187" s="9" t="str"/>
    </x:row>
    <x:row r="188">
      <x:c r="A188" s="8" t="n">
        <x:v>187</x:v>
      </x:c>
      <x:c r="B188" s="9" t="str">
        <x:v>Việt Nam có tiềm năng thuỷ điện lớn với công suất và sản lượng điện khoảng bao nhiêu mỗi năm?</x:v>
      </x:c>
      <x:c r="C188" s="9" t="str">
        <x:v>Công suất khoảng 26 500 MW, sản xuất khoảng 90 tỉ kWh mỗi năm.</x:v>
      </x:c>
      <x:c r="D188" s="10" t="str">
        <x:v>SGK_KHTN_9_CD</x:v>
      </x:c>
      <x:c r="E188" s="8" t="n">
        <x:v>74</x:v>
      </x:c>
      <x:c r="F188" s="10" t="str">
        <x:v>ly</x:v>
      </x:c>
      <x:c r="G188" s="10" t="str">
        <x:v>truc_tiep</x:v>
      </x:c>
      <x:c r="H188" s="10" t="str">
        <x:v>van_ban</x:v>
      </x:c>
      <x:c r="I188" s="10" t="str">
        <x:v>Nhận biết</x:v>
      </x:c>
      <x:c r="J188" s="10" t="str">
        <x:v>SGK_KHTN_9_CD_testset.csv</x:v>
      </x:c>
      <x:c r="K188" s="9" t="str">
        <x:v>Yêu cầu nhớ, nêu, kể tên, nhận diện hoặc lấy lại thông tin trực tiếp.</x:v>
      </x:c>
      <x:c r="L188" s="9" t="str">
        <x:v>Cần giáo viên xác nhận</x:v>
      </x:c>
      <x:c r="M188" s="9" t="str"/>
    </x:row>
    <x:row r="189">
      <x:c r="A189" s="8" t="n">
        <x:v>188</x:v>
      </x:c>
      <x:c r="B189" s="9" t="str">
        <x:v>Cát trắng ngoài việc được sử dụng làm vật liệu cho ngành xây dựng thì còn được dùng làm nguyên liệu chính để sản xuất sản phẩm nào?</x:v>
      </x:c>
      <x:c r="C189" s="9" t="str">
        <x:v>Thuỷ tinh.</x:v>
      </x:c>
      <x:c r="D189" s="10" t="str">
        <x:v>SGK_KHTN_9_CD</x:v>
      </x:c>
      <x:c r="E189" s="8" t="n">
        <x:v>147</x:v>
      </x:c>
      <x:c r="F189" s="10" t="str">
        <x:v>khac</x:v>
      </x:c>
      <x:c r="G189" s="10" t="str">
        <x:v>suy_luan</x:v>
      </x:c>
      <x:c r="H189" s="10" t="str">
        <x:v>van_ban</x:v>
      </x:c>
      <x:c r="I189" s="10" t="str">
        <x:v>Vận dụng</x:v>
      </x:c>
      <x:c r="J189" s="10" t="str">
        <x:v>SGK_KHTN_9_CD_testset.csv</x:v>
      </x:c>
      <x:c r="K189" s="9" t="str">
        <x:v>Yêu cầu áp dụng kiến thức, quy tắc hoặc phép tính vào tình huống/suy luận cụ thể.</x:v>
      </x:c>
      <x:c r="L189" s="9" t="str">
        <x:v>Cần giáo viên xác nhận</x:v>
      </x:c>
      <x:c r="M189" s="9" t="str"/>
    </x:row>
    <x:row r="190">
      <x:c r="A190" s="8" t="n">
        <x:v>189</x:v>
      </x:c>
      <x:c r="B190" s="9" t="str">
        <x:v>Theo bảng nhu cầu năng lượng và carbohydrate khuyến nghị trong một ngày, tính theo mức tối đa, nhu cầu năng lượng của nam giới ở độ tuổi 15–19 cao hơn nữ giới cùng độ tuổi bao nhiêu kcal?</x:v>
      </x:c>
      <x:c r="C190" s="9" t="str">
        <x:v>440 kcal (nam tối đa 2820 kcal, nữ tối đa 2380 kcal; 2820 − 2380 = 440).</x:v>
      </x:c>
      <x:c r="D190" s="10" t="str">
        <x:v>SGK_KHTN_9_CD</x:v>
      </x:c>
      <x:c r="E190" s="8" t="n">
        <x:v>134</x:v>
      </x:c>
      <x:c r="F190" s="10" t="str">
        <x:v>hoa</x:v>
      </x:c>
      <x:c r="G190" s="10" t="str">
        <x:v>suy_luan</x:v>
      </x:c>
      <x:c r="H190" s="10" t="str">
        <x:v>van_ban</x:v>
      </x:c>
      <x:c r="I190" s="10" t="str">
        <x:v>Vận dụng</x:v>
      </x:c>
      <x:c r="J190" s="10" t="str">
        <x:v>SGK_KHTN_9_CD_testset.csv</x:v>
      </x:c>
      <x:c r="K190" s="9" t="str">
        <x:v>Yêu cầu áp dụng kiến thức, quy tắc hoặc phép tính vào tình huống/suy luận cụ thể.</x:v>
      </x:c>
      <x:c r="L190" s="9" t="str">
        <x:v>Cần giáo viên xác nhận</x:v>
      </x:c>
      <x:c r="M190" s="9" t="str"/>
    </x:row>
    <x:row r="191">
      <x:c r="A191" s="8" t="n">
        <x:v>190</x:v>
      </x:c>
      <x:c r="B191" s="9" t="str">
        <x:v>Magnesium (Mg) tác dụng với oxygen (O2) tạo thành chất gì? Viết phương trình hoá học của phản ứng.</x:v>
      </x:c>
      <x:c r="C191" s="9" t="str">
        <x:v>Magnesium oxide (MgO). Phương trình: 2Mg + O2 -&gt; 2MgO</x:v>
      </x:c>
      <x:c r="D191" s="10" t="str">
        <x:v>SGK_KHTN_9_CD</x:v>
      </x:c>
      <x:c r="E191" s="8" t="n">
        <x:v>80</x:v>
      </x:c>
      <x:c r="F191" s="10" t="str">
        <x:v>hoa</x:v>
      </x:c>
      <x:c r="G191" s="10" t="str">
        <x:v>truc_tiep</x:v>
      </x:c>
      <x:c r="H191" s="10" t="str">
        <x:v>van_ban</x:v>
      </x:c>
      <x:c r="I191" s="10" t="str">
        <x:v>Vận dụng</x:v>
      </x:c>
      <x:c r="J191" s="10" t="str">
        <x:v>SGK_KHTN_9_CD_testset.csv</x:v>
      </x:c>
      <x:c r="K191" s="9" t="str">
        <x:v>Yêu cầu áp dụng kiến thức, quy tắc hoặc phép tính vào tình huống/suy luận cụ thể.</x:v>
      </x:c>
      <x:c r="L191" s="9" t="str">
        <x:v>Cần giáo viên xác nhận</x:v>
      </x:c>
      <x:c r="M191" s="9" t="str"/>
    </x:row>
    <x:row r="192">
      <x:c r="A192" s="8" t="n">
        <x:v>191</x:v>
      </x:c>
      <x:c r="B192" s="9" t="str">
        <x:v>Các tia tới đi qua quang tâm O của thấu kính có đường truyền như thế nào?</x:v>
      </x:c>
      <x:c r="C192" s="9" t="str">
        <x:v>Các tia tới qua quang tâm O của thấu kính đều truyền thẳng.</x:v>
      </x:c>
      <x:c r="D192" s="10" t="str">
        <x:v>SGK_KHTN_9_CD</x:v>
      </x:c>
      <x:c r="E192" s="8" t="n">
        <x:v>31</x:v>
      </x:c>
      <x:c r="F192" s="10" t="str">
        <x:v>ly</x:v>
      </x:c>
      <x:c r="G192" s="10" t="str">
        <x:v>truc_tiep</x:v>
      </x:c>
      <x:c r="H192" s="10" t="str">
        <x:v>van_ban</x:v>
      </x:c>
      <x:c r="I192" s="10" t="str">
        <x:v>Nhận biết</x:v>
      </x:c>
      <x:c r="J192" s="10" t="str">
        <x:v>SGK_KHTN_9_CD_testset.csv</x:v>
      </x:c>
      <x:c r="K192" s="9" t="str">
        <x:v>Yêu cầu nhớ, nêu, kể tên, nhận diện hoặc lấy lại thông tin trực tiếp.</x:v>
      </x:c>
      <x:c r="L192" s="9" t="str">
        <x:v>Cần giáo viên xác nhận</x:v>
      </x:c>
      <x:c r="M192" s="9" t="str"/>
    </x:row>
    <x:row r="193">
      <x:c r="A193" s="8" t="n">
        <x:v>192</x:v>
      </x:c>
      <x:c r="B193" s="9" t="str">
        <x:v>Khi chuẩn bị dụng cụ cho thí nghiệm đo tiêu cự của thấu kính hội tụ bằng phương pháp Silbermann, cần chuẩn bị những dụng cụ nào?</x:v>
      </x:c>
      <x:c r="C193" s="9" t="str">
        <x:v>Nguồn sáng, vật sáng (khe chữ E), thấu kính hội tụ, màn chắn, giá quang học.</x:v>
      </x:c>
      <x:c r="D193" s="10" t="str">
        <x:v>SGK_KHTN_9_CD</x:v>
      </x:c>
      <x:c r="E193" s="8" t="n">
        <x:v>37</x:v>
      </x:c>
      <x:c r="F193" s="10" t="str">
        <x:v>ly</x:v>
      </x:c>
      <x:c r="G193" s="10" t="str">
        <x:v>truc_tiep</x:v>
      </x:c>
      <x:c r="H193" s="10" t="str">
        <x:v>van_ban</x:v>
      </x:c>
      <x:c r="I193" s="10" t="str">
        <x:v>Nhận biết</x:v>
      </x:c>
      <x:c r="J193" s="10" t="str">
        <x:v>SGK_KHTN_9_CD_testset.csv</x:v>
      </x:c>
      <x:c r="K193" s="9" t="str">
        <x:v>Yêu cầu nhớ, nêu, kể tên, nhận diện hoặc lấy lại thông tin trực tiếp.</x:v>
      </x:c>
      <x:c r="L193" s="9" t="str">
        <x:v>Cần giáo viên xác nhận</x:v>
      </x:c>
      <x:c r="M193" s="9" t="str"/>
    </x:row>
    <x:row r="194">
      <x:c r="A194" s="8" t="n">
        <x:v>193</x:v>
      </x:c>
      <x:c r="B194" s="9" t="str">
        <x:v>Glucose và saccharose là hai carbohydrate quan trọng và phổ biến trong thiên nhiên. Hãy viết công thức hoá học của mỗi chất.</x:v>
      </x:c>
      <x:c r="C194" s="9" t="str">
        <x:v>Glucose: C6H12O6; saccharose: C12H22O11.</x:v>
      </x:c>
      <x:c r="D194" s="10" t="str">
        <x:v>SGK_KHTN_9_CD</x:v>
      </x:c>
      <x:c r="E194" s="8" t="n">
        <x:v>127</x:v>
      </x:c>
      <x:c r="F194" s="10" t="str">
        <x:v>hoa</x:v>
      </x:c>
      <x:c r="G194" s="10" t="str">
        <x:v>truc_tiep</x:v>
      </x:c>
      <x:c r="H194" s="10" t="str">
        <x:v>van_ban</x:v>
      </x:c>
      <x:c r="I194" s="10" t="str">
        <x:v>Nhận biết</x:v>
      </x:c>
      <x:c r="J194" s="10" t="str">
        <x:v>SGK_KHTN_9_CD_testset.csv</x:v>
      </x:c>
      <x:c r="K194" s="9" t="str">
        <x:v>Yêu cầu nhớ, nêu, kể tên, nhận diện hoặc lấy lại thông tin trực tiếp.</x:v>
      </x:c>
      <x:c r="L194" s="9" t="str">
        <x:v>Cần giáo viên xác nhận</x:v>
      </x:c>
      <x:c r="M194" s="9" t="str"/>
    </x:row>
    <x:row r="195">
      <x:c r="A195" s="8" t="n">
        <x:v>194</x:v>
      </x:c>
      <x:c r="B195" s="9" t="str">
        <x:v>Sau nhiều thí nghiệm tương tự với việc thay đổi các điện trở khác nhau, người ta rút ra kết luận gì về cường độ dòng điện tại mọi điểm trong đoạn mạch nối tiếp?</x:v>
      </x:c>
      <x:c r="C195" s="9" t="str">
        <x:v>Trong đoạn mạch nối tiếp, cường độ dòng điện là như nhau tại mọi điểm: I = I1 = I2 = ... = In</x:v>
      </x:c>
      <x:c r="D195" s="10" t="str">
        <x:v>SGK_KHTN_9_CD</x:v>
      </x:c>
      <x:c r="E195" s="8" t="n">
        <x:v>46</x:v>
      </x:c>
      <x:c r="F195" s="10" t="str">
        <x:v>ly</x:v>
      </x:c>
      <x:c r="G195" s="10" t="str">
        <x:v>truc_tiep</x:v>
      </x:c>
      <x:c r="H195" s="10" t="str">
        <x:v>van_ban</x:v>
      </x:c>
      <x:c r="I195" s="10" t="str">
        <x:v>Nhận biết</x:v>
      </x:c>
      <x:c r="J195" s="10" t="str">
        <x:v>SGK_KHTN_9_CD_testset.csv</x:v>
      </x:c>
      <x:c r="K195" s="9" t="str">
        <x:v>Yêu cầu nhớ, nêu, kể tên, nhận diện hoặc lấy lại thông tin trực tiếp.</x:v>
      </x:c>
      <x:c r="L195" s="9" t="str">
        <x:v>Cần giáo viên xác nhận</x:v>
      </x:c>
      <x:c r="M195" s="9" t="str"/>
    </x:row>
    <x:row r="196">
      <x:c r="A196" s="8" t="n">
        <x:v>195</x:v>
      </x:c>
      <x:c r="B196" s="9" t="str">
        <x:v>Quan sát Hình 6, hãy cho biết thí nghiệm trong hình nhằm mục đích gì và ống dẫn bằng cao su đảm nhận vai trò gì trong bộ thí nghiệm đó?</x:v>
      </x:c>
      <x:c r="C196" s="9" t="str">
        <x:v>Thí nghiệm dùng để điều chế và thử tính chất của ethylene; ống dẫn bằng cao su được dùng để nối giữa các ống dẫn thủy tinh.</x:v>
      </x:c>
      <x:c r="D196" s="10" t="str">
        <x:v>SGK_KHTN_9_CD</x:v>
      </x:c>
      <x:c r="E196" s="8" t="n">
        <x:v>6</x:v>
      </x:c>
      <x:c r="F196" s="10" t="str"/>
      <x:c r="G196" s="10" t="str">
        <x:v>truc_tiep</x:v>
      </x:c>
      <x:c r="H196" s="10" t="str">
        <x:v>hinh</x:v>
      </x:c>
      <x:c r="I196" s="10" t="str">
        <x:v>Thông hiểu</x:v>
      </x:c>
      <x:c r="J196" s="10" t="str">
        <x:v>SGK_KHTN_9_CD_testset.csv</x:v>
      </x:c>
      <x:c r="K196" s="9" t="str">
        <x:v>Yêu cầu mô tả, giải thích, so sánh hoặc diễn giải ý nghĩa/mối quan hệ.</x:v>
      </x:c>
      <x:c r="L196" s="9" t="str">
        <x:v>Cần giáo viên xác nhận</x:v>
      </x:c>
      <x:c r="M196" s="9" t="str"/>
    </x:row>
    <x:row r="197">
      <x:c r="A197" s="8" t="n">
        <x:v>196</x:v>
      </x:c>
      <x:c r="B197" s="9" t="str">
        <x:v>Quan sát Hình 1.1: bộ đội đang tác dụng lực để kéo di chuyển vật gì, và vì sao ta nói rằng họ đã thực hiện công cơ học?</x:v>
      </x:c>
      <x:c r="C197" s="9" t="str">
        <x:v>Bộ đội đang kéo các khẩu pháo (trong chiến dịch Điện Biên Phủ). Vì lực của bộ đội tác dụng lên pháo làm pháo dịch chuyển theo hướng của lực, nên ta nói lực đó đã thực hiện công cơ học (sinh công).</x:v>
      </x:c>
      <x:c r="D197" s="10" t="str">
        <x:v>SGK_KHTN_9_CD</x:v>
      </x:c>
      <x:c r="E197" s="8" t="n">
        <x:v>10</x:v>
      </x:c>
      <x:c r="F197" s="10" t="str"/>
      <x:c r="G197" s="10" t="str">
        <x:v>truc_tiep</x:v>
      </x:c>
      <x:c r="H197" s="10" t="str">
        <x:v>hinh</x:v>
      </x:c>
      <x:c r="I197" s="10" t="str">
        <x:v>Thông hiểu</x:v>
      </x:c>
      <x:c r="J197" s="10" t="str">
        <x:v>SGK_KHTN_9_CD_testset.csv</x:v>
      </x:c>
      <x:c r="K197" s="9" t="str">
        <x:v>Yêu cầu mô tả, giải thích, so sánh hoặc diễn giải ý nghĩa/mối quan hệ.</x:v>
      </x:c>
      <x:c r="L197" s="9" t="str">
        <x:v>Cần giáo viên xác nhận</x:v>
      </x:c>
      <x:c r="M197" s="9" t="str"/>
    </x:row>
    <x:row r="198">
      <x:c r="A198" s="8" t="n">
        <x:v>197</x:v>
      </x:c>
      <x:c r="B198" s="9" t="str">
        <x:v>Quan sát Hình 1.3: trong hai tình huống a) và b) được vẽ trong hình, lực nào sinh công và lực nào không sinh công? Vì sao?</x:v>
      </x:c>
      <x:c r="C198" s="9" t="str">
        <x:v>a) Lực kéo thùng hàng đi lên của cần cẩu có sinh công vì thùng hàng dịch chuyển theo phương của lực. b) Lực xách túi của hành khách đứng chờ tàu không sinh công vì hành khách đứng yên, túi không dịch chuyển (s = 0).</x:v>
      </x:c>
      <x:c r="D198" s="10" t="str">
        <x:v>SGK_KHTN_9_CD</x:v>
      </x:c>
      <x:c r="E198" s="8" t="n">
        <x:v>11</x:v>
      </x:c>
      <x:c r="F198" s="10" t="str"/>
      <x:c r="G198" s="10" t="str">
        <x:v>truc_tiep</x:v>
      </x:c>
      <x:c r="H198" s="10" t="str">
        <x:v>hinh</x:v>
      </x:c>
      <x:c r="I198" s="10" t="str">
        <x:v>Thông hiểu</x:v>
      </x:c>
      <x:c r="J198" s="10" t="str">
        <x:v>SGK_KHTN_9_CD_testset.csv</x:v>
      </x:c>
      <x:c r="K198" s="9" t="str">
        <x:v>Yêu cầu mô tả, giải thích, so sánh hoặc diễn giải ý nghĩa/mối quan hệ.</x:v>
      </x:c>
      <x:c r="L198" s="9" t="str">
        <x:v>Cần giáo viên xác nhận</x:v>
      </x:c>
      <x:c r="M198" s="9" t="str"/>
    </x:row>
    <x:row r="199">
      <x:c r="A199" s="8" t="n">
        <x:v>198</x:v>
      </x:c>
      <x:c r="B199" s="9" t="str">
        <x:v>Quan sát Hình 3, hãy cho biết thí nghiệm trong hình sử dụng dụng cụ quang học nào để tạo ra ảnh?</x:v>
      </x:c>
      <x:c r="C199" s="9" t="str">
        <x:v>Thấu kính (đây là thí nghiệm về sự tạo ảnh của thấu kính).</x:v>
      </x:c>
      <x:c r="D199" s="10" t="str">
        <x:v>SGK_KHTN_9_CD</x:v>
      </x:c>
      <x:c r="E199" s="8" t="n">
        <x:v>5</x:v>
      </x:c>
      <x:c r="F199" s="10" t="str"/>
      <x:c r="G199" s="10" t="str">
        <x:v>truc_tiep</x:v>
      </x:c>
      <x:c r="H199" s="10" t="str">
        <x:v>hinh</x:v>
      </x:c>
      <x:c r="I199" s="10" t="str">
        <x:v>Nhận biết</x:v>
      </x:c>
      <x:c r="J199" s="10" t="str">
        <x:v>SGK_KHTN_9_CD_testset.csv</x:v>
      </x:c>
      <x:c r="K199" s="9" t="str">
        <x:v>Yêu cầu nhớ, nêu, kể tên, nhận diện hoặc lấy lại thông tin trực tiếp.</x:v>
      </x:c>
      <x:c r="L199" s="9" t="str">
        <x:v>Cần giáo viên xác nhận</x:v>
      </x:c>
      <x:c r="M199" s="9" t="str"/>
    </x:row>
    <x:row r="200">
      <x:c r="A200" s="8" t="n">
        <x:v>199</x:v>
      </x:c>
      <x:c r="B200" s="9" t="str">
        <x:v>Protein bị thủy phân bởi những tác nhân nào và tạo ra sản phẩm gì?</x:v>
      </x:c>
      <x:c r="C200" s="9" t="str">
        <x:v>Protein bị thủy phân bởi enzyme hoặc môi trường acid hay base, tạo ra các amino acid.</x:v>
      </x:c>
      <x:c r="D200" s="10" t="str">
        <x:v>SGK_KHTN_9_CTST</x:v>
      </x:c>
      <x:c r="E200" s="8" t="n">
        <x:v>134</x:v>
      </x:c>
      <x:c r="F200" s="10" t="str">
        <x:v>hoa</x:v>
      </x:c>
      <x:c r="G200" s="10" t="str">
        <x:v>truc_tiep</x:v>
      </x:c>
      <x:c r="H200" s="10" t="str">
        <x:v>van_ban</x:v>
      </x:c>
      <x:c r="I200" s="10" t="str">
        <x:v>Thông hiểu</x:v>
      </x:c>
      <x:c r="J200" s="10" t="str">
        <x:v>SGK_KHTN_9_CTST_testset.csv</x:v>
      </x:c>
      <x:c r="K200" s="9" t="str">
        <x:v>Yêu cầu mô tả, giải thích, so sánh hoặc diễn giải ý nghĩa/mối quan hệ.</x:v>
      </x:c>
      <x:c r="L200" s="9" t="str">
        <x:v>Cần giáo viên xác nhận</x:v>
      </x:c>
      <x:c r="M200" s="9" t="str"/>
    </x:row>
    <x:row r="201">
      <x:c r="A201" s="8" t="n">
        <x:v>200</x:v>
      </x:c>
      <x:c r="B201" s="9" t="str">
        <x:v>Vì sao không nên dùng xà phòng có tính kiềm mạnh để giặt áo quần may bằng vải tơ tằm?</x:v>
      </x:c>
      <x:c r="C201" s="9" t="str">
        <x:v>Vì tơ tằm chứa protein, mà protein bị đông tụ bởi acid hoặc base (kiềm) hay đun nóng, nên xà phòng kiềm mạnh sẽ làm đông tụ, hư hỏng protein trong tơ tằm.</x:v>
      </x:c>
      <x:c r="D201" s="10" t="str">
        <x:v>SGK_KHTN_9_CTST</x:v>
      </x:c>
      <x:c r="E201" s="8" t="n">
        <x:v>127</x:v>
      </x:c>
      <x:c r="F201" s="10" t="str">
        <x:v>hoa</x:v>
      </x:c>
      <x:c r="G201" s="10" t="str">
        <x:v>suy_luan</x:v>
      </x:c>
      <x:c r="H201" s="10" t="str">
        <x:v>van_ban</x:v>
      </x:c>
      <x:c r="I201" s="10" t="str">
        <x:v>Vận dụng</x:v>
      </x:c>
      <x:c r="J201" s="10" t="str">
        <x:v>SGK_KHTN_9_CTST_testset.csv</x:v>
      </x:c>
      <x:c r="K201" s="9" t="str">
        <x:v>Yêu cầu áp dụng kiến thức, quy tắc hoặc phép tính vào tình huống/suy luận cụ thể.</x:v>
      </x:c>
      <x:c r="L201" s="9" t="str">
        <x:v>Cần giáo viên xác nhận</x:v>
      </x:c>
      <x:c r="M201" s="9" t="str"/>
    </x:row>
    <x:row r="202">
      <x:c r="A202" s="8" t="n">
        <x:v>201</x:v>
      </x:c>
      <x:c r="B202" s="9" t="str">
        <x:v>Tia sáng tới đi qua quang tâm O của thấu kính thì truyền đi như thế nào?</x:v>
      </x:c>
      <x:c r="C202" s="9" t="str">
        <x:v>Tia tới quang tâm của thấu kính thì truyền thẳng.</x:v>
      </x:c>
      <x:c r="D202" s="10" t="str">
        <x:v>SGK_KHTN_9_CTST</x:v>
      </x:c>
      <x:c r="E202" s="8" t="n">
        <x:v>31</x:v>
      </x:c>
      <x:c r="F202" s="10" t="str">
        <x:v>ly</x:v>
      </x:c>
      <x:c r="G202" s="10" t="str">
        <x:v>truc_tiep</x:v>
      </x:c>
      <x:c r="H202" s="10" t="str">
        <x:v>van_ban</x:v>
      </x:c>
      <x:c r="I202" s="10" t="str">
        <x:v>Nhận biết</x:v>
      </x:c>
      <x:c r="J202" s="10" t="str">
        <x:v>SGK_KHTN_9_CTST_testset.csv</x:v>
      </x:c>
      <x:c r="K202" s="9" t="str">
        <x:v>Yêu cầu nhớ, nêu, kể tên, nhận diện hoặc lấy lại thông tin trực tiếp.</x:v>
      </x:c>
      <x:c r="L202" s="9" t="str">
        <x:v>Cần giáo viên xác nhận</x:v>
      </x:c>
      <x:c r="M202" s="9" t="str"/>
    </x:row>
    <x:row r="203">
      <x:c r="A203" s="8" t="n">
        <x:v>202</x:v>
      </x:c>
      <x:c r="B203" s="9" t="str">
        <x:v>Trong Bảng 7.1 'Kết quả đo tiêu cự của thấu kính hội tụ', mỗi lần đo cần ghi lại hai đại lượng nào và với đơn vị gì?</x:v>
      </x:c>
      <x:c r="C203" s="9" t="str">
        <x:v>Khoảng cách d từ vật đến thấu kính và khoảng cách d' từ ảnh đến thấu kính, đều đo bằng milimét (mm)</x:v>
      </x:c>
      <x:c r="D203" s="10" t="str">
        <x:v>SGK_KHTN_9_CTST</x:v>
      </x:c>
      <x:c r="E203" s="8" t="n">
        <x:v>37</x:v>
      </x:c>
      <x:c r="F203" s="10" t="str">
        <x:v>ly</x:v>
      </x:c>
      <x:c r="G203" s="10" t="str">
        <x:v>truc_tiep</x:v>
      </x:c>
      <x:c r="H203" s="10" t="str">
        <x:v>van_ban</x:v>
      </x:c>
      <x:c r="I203" s="10" t="str">
        <x:v>Nhận biết</x:v>
      </x:c>
      <x:c r="J203" s="10" t="str">
        <x:v>SGK_KHTN_9_CTST_testset.csv</x:v>
      </x:c>
      <x:c r="K203" s="9" t="str">
        <x:v>Yêu cầu nhớ, nêu, kể tên, nhận diện hoặc lấy lại thông tin trực tiếp.</x:v>
      </x:c>
      <x:c r="L203" s="9" t="str">
        <x:v>Cần giáo viên xác nhận</x:v>
      </x:c>
      <x:c r="M203" s="9" t="str"/>
    </x:row>
    <x:row r="204">
      <x:c r="A204" s="8" t="n">
        <x:v>203</x:v>
      </x:c>
      <x:c r="B204" s="9" t="str">
        <x:v>Hiệu điện thế định mức của một dụng cụ điện được hiểu như thế nào?</x:v>
      </x:c>
      <x:c r="C204" s="9" t="str">
        <x:v>Là hiệu điện thế để dụng cụ điện hoạt động bình thường.</x:v>
      </x:c>
      <x:c r="D204" s="10" t="str">
        <x:v>SGK_KHTN_9_CTST</x:v>
      </x:c>
      <x:c r="E204" s="8" t="n">
        <x:v>53</x:v>
      </x:c>
      <x:c r="F204" s="10" t="str">
        <x:v>ly</x:v>
      </x:c>
      <x:c r="G204" s="10" t="str">
        <x:v>truc_tiep</x:v>
      </x:c>
      <x:c r="H204" s="10" t="str">
        <x:v>van_ban</x:v>
      </x:c>
      <x:c r="I204" s="10" t="str">
        <x:v>Thông hiểu</x:v>
      </x:c>
      <x:c r="J204" s="10" t="str">
        <x:v>SGK_KHTN_9_CTST_testset.csv</x:v>
      </x:c>
      <x:c r="K204" s="9" t="str">
        <x:v>Yêu cầu mô tả, giải thích, so sánh hoặc diễn giải ý nghĩa/mối quan hệ.</x:v>
      </x:c>
      <x:c r="L204" s="9" t="str">
        <x:v>Cần giáo viên xác nhận</x:v>
      </x:c>
      <x:c r="M204" s="9" t="str"/>
    </x:row>
    <x:row r="205">
      <x:c r="A205" s="8" t="n">
        <x:v>204</x:v>
      </x:c>
      <x:c r="B205" s="9" t="str">
        <x:v>Potassium (K) thuộc nhóm IA trong Bảng tuần hoàn các nguyên tố hoá học, giống như sodium. Hãy viết phương trình hoá học của phản ứng giữa potassium với nước ở nhiệt độ thường.</x:v>
      </x:c>
      <x:c r="C205" s="9" t="str">
        <x:v>2K + 2H2O -&gt; 2KOH + H2 (vì K thuộc nhóm IA nên phản ứng với nước tạo hydroxide và khí hydrogen giống sodium)</x:v>
      </x:c>
      <x:c r="D205" s="10" t="str">
        <x:v>SGK_KHTN_9_CTST</x:v>
      </x:c>
      <x:c r="E205" s="8" t="n">
        <x:v>74</x:v>
      </x:c>
      <x:c r="F205" s="10" t="str">
        <x:v>hoa</x:v>
      </x:c>
      <x:c r="G205" s="10" t="str">
        <x:v>suy_luan</x:v>
      </x:c>
      <x:c r="H205" s="10" t="str">
        <x:v>van_ban</x:v>
      </x:c>
      <x:c r="I205" s="10" t="str">
        <x:v>Vận dụng</x:v>
      </x:c>
      <x:c r="J205" s="10" t="str">
        <x:v>SGK_KHTN_9_CTST_testset.csv</x:v>
      </x:c>
      <x:c r="K205" s="9" t="str">
        <x:v>Yêu cầu áp dụng kiến thức, quy tắc hoặc phép tính vào tình huống/suy luận cụ thể.</x:v>
      </x:c>
      <x:c r="L205" s="9" t="str">
        <x:v>Cần giáo viên xác nhận</x:v>
      </x:c>
      <x:c r="M205" s="9" t="str"/>
    </x:row>
    <x:row r="206">
      <x:c r="A206" s="8" t="n">
        <x:v>205</x:v>
      </x:c>
      <x:c r="B206" s="9" t="str">
        <x:v>Vì sao theo dự đoán của các nhà khoa học, nếu nhiệt độ trên Trái Đất tiếp tục tăng thì các quốc gia, thành phố ven biển sẽ có nguy cơ bị ngập, lụt?</x:v>
      </x:c>
      <x:c r="C206" s="9" t="str">
        <x:v>Vì nhiệt độ tăng làm những khối băng ở các cực Trái Đất tan chảy nhanh hơn, làm cho mực nước biển dâng cao, nên các quốc gia, thành phố ven biển có nguy cơ bị ngập, lụt.</x:v>
      </x:c>
      <x:c r="D206" s="10" t="str">
        <x:v>SGK_KHTN_9_CTST</x:v>
      </x:c>
      <x:c r="E206" s="8" t="n">
        <x:v>147</x:v>
      </x:c>
      <x:c r="F206" s="10" t="str">
        <x:v>khac</x:v>
      </x:c>
      <x:c r="G206" s="10" t="str">
        <x:v>suy_luan</x:v>
      </x:c>
      <x:c r="H206" s="10" t="str">
        <x:v>van_ban</x:v>
      </x:c>
      <x:c r="I206" s="10" t="str">
        <x:v>Thông hiểu</x:v>
      </x:c>
      <x:c r="J206" s="10" t="str">
        <x:v>SGK_KHTN_9_CTST_testset.csv</x:v>
      </x:c>
      <x:c r="K206" s="9" t="str">
        <x:v>Yêu cầu mô tả, giải thích, so sánh hoặc diễn giải ý nghĩa/mối quan hệ.</x:v>
      </x:c>
      <x:c r="L206" s="9" t="str">
        <x:v>Cần giáo viên xác nhận</x:v>
      </x:c>
      <x:c r="M206" s="9" t="str"/>
    </x:row>
    <x:row r="207">
      <x:c r="A207" s="8" t="n">
        <x:v>206</x:v>
      </x:c>
      <x:c r="B207" s="9" t="str">
        <x:v>Trong đoạn mạch nối tiếp, cường độ dòng điện qua các thiết bị điện có mối quan hệ như thế nào?</x:v>
      </x:c>
      <x:c r="C207" s="9" t="str">
        <x:v>Cường độ dòng điện có giá trị như nhau cho mọi thiết bị điện mắc nối tiếp: I = I₁ = I₂ = ... = Iₙ.</x:v>
      </x:c>
      <x:c r="D207" s="10" t="str">
        <x:v>SGK_KHTN_9_CTST</x:v>
      </x:c>
      <x:c r="E207" s="8" t="n">
        <x:v>46</x:v>
      </x:c>
      <x:c r="F207" s="10" t="str">
        <x:v>ly</x:v>
      </x:c>
      <x:c r="G207" s="10" t="str">
        <x:v>truc_tiep</x:v>
      </x:c>
      <x:c r="H207" s="10" t="str">
        <x:v>van_ban</x:v>
      </x:c>
      <x:c r="I207" s="10" t="str">
        <x:v>Thông hiểu</x:v>
      </x:c>
      <x:c r="J207" s="10" t="str">
        <x:v>SGK_KHTN_9_CTST_testset.csv</x:v>
      </x:c>
      <x:c r="K207" s="9" t="str">
        <x:v>Yêu cầu mô tả, giải thích, so sánh hoặc diễn giải ý nghĩa/mối quan hệ.</x:v>
      </x:c>
      <x:c r="L207" s="9" t="str">
        <x:v>Cần giáo viên xác nhận</x:v>
      </x:c>
      <x:c r="M207" s="9" t="str"/>
    </x:row>
    <x:row r="208">
      <x:c r="A208" s="8" t="n">
        <x:v>207</x:v>
      </x:c>
      <x:c r="B208" s="9" t="str">
        <x:v>Để tách sắt ra khỏi hợp chất iron(III) oxide (Fe2O3), người ta cho Fe2O3 phản ứng với khí carbon monoxide (CO) ở nhiệt độ cao. Hãy viết phương trình hoá học của phản ứng này.</x:v>
      </x:c>
      <x:c r="C208" s="9" t="str">
        <x:v>Fe2O3 + 3CO --(nhiệt độ cao)--&gt; 2Fe + 3CO2</x:v>
      </x:c>
      <x:c r="D208" s="10" t="str">
        <x:v>SGK_KHTN_9_CTST</x:v>
      </x:c>
      <x:c r="E208" s="8" t="n">
        <x:v>80</x:v>
      </x:c>
      <x:c r="F208" s="10" t="str">
        <x:v>hoa</x:v>
      </x:c>
      <x:c r="G208" s="10" t="str">
        <x:v>truc_tiep</x:v>
      </x:c>
      <x:c r="H208" s="10" t="str">
        <x:v>van_ban</x:v>
      </x:c>
      <x:c r="I208" s="10" t="str">
        <x:v>Vận dụng</x:v>
      </x:c>
      <x:c r="J208" s="10" t="str">
        <x:v>SGK_KHTN_9_CTST_testset.csv</x:v>
      </x:c>
      <x:c r="K208" s="9" t="str">
        <x:v>Yêu cầu áp dụng kiến thức, quy tắc hoặc phép tính vào tình huống/suy luận cụ thể.</x:v>
      </x:c>
      <x:c r="L208" s="9" t="str">
        <x:v>Cần giáo viên xác nhận</x:v>
      </x:c>
      <x:c r="M208" s="9" t="str"/>
    </x:row>
    <x:row r="209">
      <x:c r="A209" s="8" t="n">
        <x:v>208</x:v>
      </x:c>
      <x:c r="B209" s="9" t="str">
        <x:v>Túi ni-lông và hộp xốp thường được làm từ PE, PP, PVC. Vì sao chúng ta nên hạn chế sử dụng các sản phẩm làm từ những chất này?</x:v>
      </x:c>
      <x:c r="C209" s="9" t="str">
        <x:v>Vì PE, PP, PVC là các polymer không phân hủy sinh học; rác thải polymer gây ô nhiễm môi trường ngày càng trầm trọng, nên hạn chế dùng để bảo vệ môi trường.</x:v>
      </x:c>
      <x:c r="D209" s="10" t="str">
        <x:v>SGK_KHTN_9_CTST</x:v>
      </x:c>
      <x:c r="E209" s="8" t="n">
        <x:v>134</x:v>
      </x:c>
      <x:c r="F209" s="10" t="str">
        <x:v>hoa</x:v>
      </x:c>
      <x:c r="G209" s="10" t="str">
        <x:v>suy_luan</x:v>
      </x:c>
      <x:c r="H209" s="10" t="str">
        <x:v>van_ban</x:v>
      </x:c>
      <x:c r="I209" s="10" t="str">
        <x:v>Thông hiểu</x:v>
      </x:c>
      <x:c r="J209" s="10" t="str">
        <x:v>SGK_KHTN_9_CTST_testset.csv</x:v>
      </x:c>
      <x:c r="K209" s="9" t="str">
        <x:v>Yêu cầu mô tả, giải thích, so sánh hoặc diễn giải ý nghĩa/mối quan hệ.</x:v>
      </x:c>
      <x:c r="L209" s="9" t="str">
        <x:v>Cần giáo viên xác nhận</x:v>
      </x:c>
      <x:c r="M209" s="9" t="str"/>
    </x:row>
    <x:row r="210">
      <x:c r="A210" s="8" t="n">
        <x:v>209</x:v>
      </x:c>
      <x:c r="B210" s="9" t="str">
        <x:v>Thành phần hoá học chủ yếu của tơ tằm và len lông cừu là gì?</x:v>
      </x:c>
      <x:c r="C210" s="9" t="str">
        <x:v>Protein.</x:v>
      </x:c>
      <x:c r="D210" s="10" t="str">
        <x:v>SGK_KHTN_9_CTST</x:v>
      </x:c>
      <x:c r="E210" s="8" t="n">
        <x:v>127</x:v>
      </x:c>
      <x:c r="F210" s="10" t="str">
        <x:v>hoa</x:v>
      </x:c>
      <x:c r="G210" s="10" t="str">
        <x:v>truc_tiep</x:v>
      </x:c>
      <x:c r="H210" s="10" t="str">
        <x:v>van_ban</x:v>
      </x:c>
      <x:c r="I210" s="10" t="str">
        <x:v>Nhận biết</x:v>
      </x:c>
      <x:c r="J210" s="10" t="str">
        <x:v>SGK_KHTN_9_CTST_testset.csv</x:v>
      </x:c>
      <x:c r="K210" s="9" t="str">
        <x:v>Yêu cầu nhớ, nêu, kể tên, nhận diện hoặc lấy lại thông tin trực tiếp.</x:v>
      </x:c>
      <x:c r="L210" s="9" t="str">
        <x:v>Cần giáo viên xác nhận</x:v>
      </x:c>
      <x:c r="M210" s="9" t="str"/>
    </x:row>
    <x:row r="211">
      <x:c r="A211" s="8" t="n">
        <x:v>210</x:v>
      </x:c>
      <x:c r="B211" s="9" t="str">
        <x:v>Tia sáng đi qua một lăng kính luôn bị lệch về phía nào của lăng kính?</x:v>
      </x:c>
      <x:c r="C211" s="9" t="str">
        <x:v>Tia sáng đi qua lăng kính luôn lệch về phía đáy.</x:v>
      </x:c>
      <x:c r="D211" s="10" t="str">
        <x:v>SGK_KHTN_9_CTST</x:v>
      </x:c>
      <x:c r="E211" s="8" t="n">
        <x:v>31</x:v>
      </x:c>
      <x:c r="F211" s="10" t="str">
        <x:v>ly</x:v>
      </x:c>
      <x:c r="G211" s="10" t="str">
        <x:v>truc_tiep</x:v>
      </x:c>
      <x:c r="H211" s="10" t="str">
        <x:v>van_ban</x:v>
      </x:c>
      <x:c r="I211" s="10" t="str">
        <x:v>Nhận biết</x:v>
      </x:c>
      <x:c r="J211" s="10" t="str">
        <x:v>SGK_KHTN_9_CTST_testset.csv</x:v>
      </x:c>
      <x:c r="K211" s="9" t="str">
        <x:v>Yêu cầu nhớ, nêu, kể tên, nhận diện hoặc lấy lại thông tin trực tiếp.</x:v>
      </x:c>
      <x:c r="L211" s="9" t="str">
        <x:v>Cần giáo viên xác nhận</x:v>
      </x:c>
      <x:c r="M211" s="9" t="str"/>
    </x:row>
    <x:row r="212">
      <x:c r="A212" s="8" t="n">
        <x:v>211</x:v>
      </x:c>
      <x:c r="B212" s="9" t="str">
        <x:v>Tên của bài báo cáo thực hành về quang học trong sách giáo khoa Khoa học tự nhiên THCS (có Bảng 7.1) là gì?</x:v>
      </x:c>
      <x:c r="C212" s="9" t="str">
        <x:v>Đo tiêu cự của thấu kính hội tụ</x:v>
      </x:c>
      <x:c r="D212" s="10" t="str">
        <x:v>SGK_KHTN_9_CTST</x:v>
      </x:c>
      <x:c r="E212" s="8" t="n">
        <x:v>37</x:v>
      </x:c>
      <x:c r="F212" s="10" t="str">
        <x:v>ly</x:v>
      </x:c>
      <x:c r="G212" s="10" t="str">
        <x:v>truc_tiep</x:v>
      </x:c>
      <x:c r="H212" s="10" t="str">
        <x:v>van_ban</x:v>
      </x:c>
      <x:c r="I212" s="10" t="str">
        <x:v>Nhận biết</x:v>
      </x:c>
      <x:c r="J212" s="10" t="str">
        <x:v>SGK_KHTN_9_CTST_testset.csv</x:v>
      </x:c>
      <x:c r="K212" s="9" t="str">
        <x:v>Yêu cầu nhớ, nêu, kể tên, nhận diện hoặc lấy lại thông tin trực tiếp.</x:v>
      </x:c>
      <x:c r="L212" s="9" t="str">
        <x:v>Cần giáo viên xác nhận</x:v>
      </x:c>
      <x:c r="M212" s="9" t="str"/>
    </x:row>
    <x:row r="213">
      <x:c r="A213" s="8" t="n">
        <x:v>212</x:v>
      </x:c>
      <x:c r="B213" s="9" t="str">
        <x:v>Khi cho mẩu kim loại sodium vào chậu nước cất có nhỏ vài giọt phenolphthalein, người ta quan sát thấy mẩu sodium có hiện tượng gì và dung dịch trong chậu chuyển sang màu gì?</x:v>
      </x:c>
      <x:c r="C213" s="9" t="str">
        <x:v>Mẩu sodium vo lại thành viên tròn, di chuyển trên mặt nước và tan dần; dung dịch chuyển sang màu hồng.</x:v>
      </x:c>
      <x:c r="D213" s="10" t="str">
        <x:v>SGK_KHTN_9_CTST</x:v>
      </x:c>
      <x:c r="E213" s="8" t="n">
        <x:v>74</x:v>
      </x:c>
      <x:c r="F213" s="10" t="str">
        <x:v>hoa</x:v>
      </x:c>
      <x:c r="G213" s="10" t="str">
        <x:v>truc_tiep</x:v>
      </x:c>
      <x:c r="H213" s="10" t="str">
        <x:v>van_ban</x:v>
      </x:c>
      <x:c r="I213" s="10" t="str">
        <x:v>Nhận biết</x:v>
      </x:c>
      <x:c r="J213" s="10" t="str">
        <x:v>SGK_KHTN_9_CTST_testset.csv</x:v>
      </x:c>
      <x:c r="K213" s="9" t="str">
        <x:v>Yêu cầu nhớ, nêu, kể tên, nhận diện hoặc lấy lại thông tin trực tiếp.</x:v>
      </x:c>
      <x:c r="L213" s="9" t="str">
        <x:v>Cần giáo viên xác nhận</x:v>
      </x:c>
      <x:c r="M213" s="9" t="str"/>
    </x:row>
    <x:row r="214">
      <x:c r="A214" s="8" t="n">
        <x:v>213</x:v>
      </x:c>
      <x:c r="B214" s="9" t="str">
        <x:v>Nhiệt độ trung bình của Trái Đất đã thay đổi như thế nào kể từ thời kì tiền công nghiệp?</x:v>
      </x:c>
      <x:c r="C214" s="9" t="str">
        <x:v>Nhiệt độ trung bình của Trái Đất đã tăng lên kể từ thời kì tiền công nghiệp.</x:v>
      </x:c>
      <x:c r="D214" s="10" t="str">
        <x:v>SGK_KHTN_9_CTST</x:v>
      </x:c>
      <x:c r="E214" s="8" t="n">
        <x:v>147</x:v>
      </x:c>
      <x:c r="F214" s="10" t="str">
        <x:v>khac</x:v>
      </x:c>
      <x:c r="G214" s="10" t="str">
        <x:v>truc_tiep</x:v>
      </x:c>
      <x:c r="H214" s="10" t="str">
        <x:v>van_ban</x:v>
      </x:c>
      <x:c r="I214" s="10" t="str">
        <x:v>Thông hiểu</x:v>
      </x:c>
      <x:c r="J214" s="10" t="str">
        <x:v>SGK_KHTN_9_CTST_testset.csv</x:v>
      </x:c>
      <x:c r="K214" s="9" t="str">
        <x:v>Yêu cầu mô tả, giải thích, so sánh hoặc diễn giải ý nghĩa/mối quan hệ.</x:v>
      </x:c>
      <x:c r="L214" s="9" t="str">
        <x:v>Cần giáo viên xác nhận</x:v>
      </x:c>
      <x:c r="M214" s="9" t="str"/>
    </x:row>
    <x:row r="215">
      <x:c r="A215" s="8" t="n">
        <x:v>214</x:v>
      </x:c>
      <x:c r="B215" s="9" t="str">
        <x:v>Cho đoạn mạch điện AB gồm hai điện trở R₁ = 10 Ω và R₂ = 15 Ω mắc nối tiếp. Hãy tính điện trở tương đương của đoạn mạch AB.</x:v>
      </x:c>
      <x:c r="C215" s="9" t="str">
        <x:v>Rtd = R₁ + R₂ = 10 + 15 = 25 Ω.</x:v>
      </x:c>
      <x:c r="D215" s="10" t="str">
        <x:v>SGK_KHTN_9_CTST</x:v>
      </x:c>
      <x:c r="E215" s="8" t="n">
        <x:v>46</x:v>
      </x:c>
      <x:c r="F215" s="10" t="str">
        <x:v>ly</x:v>
      </x:c>
      <x:c r="G215" s="10" t="str">
        <x:v>suy_luan</x:v>
      </x:c>
      <x:c r="H215" s="10" t="str">
        <x:v>van_ban</x:v>
      </x:c>
      <x:c r="I215" s="10" t="str">
        <x:v>Vận dụng</x:v>
      </x:c>
      <x:c r="J215" s="10" t="str">
        <x:v>SGK_KHTN_9_CTST_testset.csv</x:v>
      </x:c>
      <x:c r="K215" s="9" t="str">
        <x:v>Yêu cầu áp dụng kiến thức, quy tắc hoặc phép tính vào tình huống/suy luận cụ thể.</x:v>
      </x:c>
      <x:c r="L215" s="9" t="str">
        <x:v>Cần giáo viên xác nhận</x:v>
      </x:c>
      <x:c r="M215" s="9" t="str"/>
    </x:row>
    <x:row r="216">
      <x:c r="A216" s="8" t="n">
        <x:v>215</x:v>
      </x:c>
      <x:c r="B216" s="9" t="str">
        <x:v>Quan sát Hình 2.1, hãy cho biết hình vẽ minh họa những vật nào đang chuyển động (tức đang có động năng)?</x:v>
      </x:c>
      <x:c r="C216" s="9" t="str">
        <x:v>Ba vật: kiện hàng đang dịch chuyển nhờ băng chuyền; ô tô đang chạy trên đường; máy bay đang chuyển động trên bầu trời.</x:v>
      </x:c>
      <x:c r="D216" s="10" t="str">
        <x:v>SGK_KHTN_9_CTST</x:v>
      </x:c>
      <x:c r="E216" s="8" t="n">
        <x:v>10</x:v>
      </x:c>
      <x:c r="F216" s="10" t="str"/>
      <x:c r="G216" s="10" t="str">
        <x:v>truc_tiep</x:v>
      </x:c>
      <x:c r="H216" s="10" t="str">
        <x:v>hinh</x:v>
      </x:c>
      <x:c r="I216" s="10" t="str">
        <x:v>Nhận biết</x:v>
      </x:c>
      <x:c r="J216" s="10" t="str">
        <x:v>SGK_KHTN_9_CTST_testset.csv</x:v>
      </x:c>
      <x:c r="K216" s="9" t="str">
        <x:v>Yêu cầu nhớ, nêu, kể tên, nhận diện hoặc lấy lại thông tin trực tiếp.</x:v>
      </x:c>
      <x:c r="L216" s="9" t="str">
        <x:v>Cần giáo viên xác nhận</x:v>
      </x:c>
      <x:c r="M216" s="9" t="str"/>
    </x:row>
    <x:row r="217">
      <x:c r="A217" s="8" t="n">
        <x:v>216</x:v>
      </x:c>
      <x:c r="B217" s="9" t="str">
        <x:v>Quan sát Hình 2.2, hãy kể tên ba vật có thế năng được minh họa trong hình và cho biết vì sao cả ba vật này đều có thế năng.</x:v>
      </x:c>
      <x:c r="C217" s="9" t="str">
        <x:v>Ba vật là: khí cầu lơ lửng trên không, đồng hồ treo trên tường và quả dừa ở trên cây. Chúng đều có thế năng vì đều ở độ cao nhất định so với mặt đất (W_t = Ph với h &gt; 0).</x:v>
      </x:c>
      <x:c r="D217" s="10" t="str">
        <x:v>SGK_KHTN_9_CTST</x:v>
      </x:c>
      <x:c r="E217" s="8" t="n">
        <x:v>11</x:v>
      </x:c>
      <x:c r="F217" s="10" t="str"/>
      <x:c r="G217" s="10" t="str">
        <x:v>truc_tiep</x:v>
      </x:c>
      <x:c r="H217" s="10" t="str">
        <x:v>hinh</x:v>
      </x:c>
      <x:c r="I217" s="10" t="str">
        <x:v>Thông hiểu</x:v>
      </x:c>
      <x:c r="J217" s="10" t="str">
        <x:v>SGK_KHTN_9_CTST_testset.csv</x:v>
      </x:c>
      <x:c r="K217" s="9" t="str">
        <x:v>Yêu cầu mô tả, giải thích, so sánh hoặc diễn giải ý nghĩa/mối quan hệ.</x:v>
      </x:c>
      <x:c r="L217" s="9" t="str">
        <x:v>Cần giáo viên xác nhận</x:v>
      </x:c>
      <x:c r="M217" s="9" t="str"/>
    </x:row>
    <x:row r="218">
      <x:c r="A218" s="8" t="n">
        <x:v>217</x:v>
      </x:c>
      <x:c r="B218" s="9" t="str">
        <x:v>Quan sát Hình 1.1: ngoài bộ tiêu bản nhiễm sắc thể người và lăng kính, hình còn cho thấy những loại thấu kính nào?</x:v>
      </x:c>
      <x:c r="C218" s="9" t="str">
        <x:v>Thấu kính hội tụ và thấu kính phân kì.</x:v>
      </x:c>
      <x:c r="D218" s="10" t="str">
        <x:v>SGK_KHTN_9_CTST</x:v>
      </x:c>
      <x:c r="E218" s="8" t="n">
        <x:v>6</x:v>
      </x:c>
      <x:c r="F218" s="10" t="str"/>
      <x:c r="G218" s="10" t="str">
        <x:v>truc_tiep</x:v>
      </x:c>
      <x:c r="H218" s="10" t="str">
        <x:v>hinh</x:v>
      </x:c>
      <x:c r="I218" s="10" t="str">
        <x:v>Nhận biết</x:v>
      </x:c>
      <x:c r="J218" s="10" t="str">
        <x:v>SGK_KHTN_9_CTST_testset.csv</x:v>
      </x:c>
      <x:c r="K218" s="9" t="str">
        <x:v>Yêu cầu nhớ, nêu, kể tên, nhận diện hoặc lấy lại thông tin trực tiếp.</x:v>
      </x:c>
      <x:c r="L218" s="9" t="str">
        <x:v>Cần giáo viên xác nhận</x:v>
      </x:c>
      <x:c r="M218" s="9" t="str"/>
    </x:row>
    <x:row r="219">
      <x:c r="A219" s="8" t="n">
        <x:v>218</x:v>
      </x:c>
      <x:c r="B219" s="9" t="str">
        <x:v>Quan sát Hình 1.2, hãy kể tên các hoá chất cùng công thức hoá học được ghi trên nhãn trong hình.</x:v>
      </x:c>
      <x:c r="C219" s="9" t="str">
        <x:v>Đá vôi (calcium carbonate, CaCO₃); vôi sống (calcium oxide, CaO); glucose (C₆H₁₂O₆); saccharose (C₁₂H₂₂O₁₁).</x:v>
      </x:c>
      <x:c r="D219" s="10" t="str">
        <x:v>SGK_KHTN_9_CTST</x:v>
      </x:c>
      <x:c r="E219" s="8" t="n">
        <x:v>7</x:v>
      </x:c>
      <x:c r="F219" s="10" t="str"/>
      <x:c r="G219" s="10" t="str">
        <x:v>truc_tiep</x:v>
      </x:c>
      <x:c r="H219" s="10" t="str">
        <x:v>hinh</x:v>
      </x:c>
      <x:c r="I219" s="10" t="str">
        <x:v>Nhận biết</x:v>
      </x:c>
      <x:c r="J219" s="10" t="str">
        <x:v>SGK_KHTN_9_CTST_testset.csv</x:v>
      </x:c>
      <x:c r="K219" s="9" t="str">
        <x:v>Yêu cầu nhớ, nêu, kể tên, nhận diện hoặc lấy lại thông tin trực tiếp.</x:v>
      </x:c>
      <x:c r="L219" s="9" t="str">
        <x:v>Cần giáo viên xác nhận</x:v>
      </x:c>
      <x:c r="M219" s="9" t="str"/>
    </x:row>
    <x:row r="220">
      <x:c r="A220" s="8" t="n">
        <x:v>219</x:v>
      </x:c>
      <x:c r="B220" s="9" t="str">
        <x:v>Vì sao phương pháp phân tích DNA có thể được ứng dụng để xác định quan hệ huyết thống hoặc truy tìm nghi phạm trong điều tra tội phạm?</x:v>
      </x:c>
      <x:c r="C220" s="9" t="str">
        <x:v>Vì trình tự sắp xếp các nucleotide trong phân tử DNA đặc trưng cho từng loài, thậm chí từng cá thể, nên so sánh, đối chiếu dữ liệu phân tích DNA giữa các mẫu sinh phẩm (chân tóc, máu, tế bào niêm mạc miệng, xương,...) cho phép xác định quan hệ huyết thống và xác định nghi phạm.</x:v>
      </x:c>
      <x:c r="D220" s="10" t="str">
        <x:v>SGK_KHTN_9_KNTT</x:v>
      </x:c>
      <x:c r="E220" s="8" t="n">
        <x:v>168</x:v>
      </x:c>
      <x:c r="F220" s="10" t="str">
        <x:v>sinh</x:v>
      </x:c>
      <x:c r="G220" s="10" t="str">
        <x:v>suy_luan</x:v>
      </x:c>
      <x:c r="H220" s="10" t="str">
        <x:v>van_ban</x:v>
      </x:c>
      <x:c r="I220" s="10" t="str">
        <x:v>Thông hiểu</x:v>
      </x:c>
      <x:c r="J220" s="10" t="str">
        <x:v>SGK_KHTN_9_KNTT_testset.csv</x:v>
      </x:c>
      <x:c r="K220" s="9" t="str">
        <x:v>Yêu cầu mô tả, giải thích, so sánh hoặc diễn giải ý nghĩa/mối quan hệ.</x:v>
      </x:c>
      <x:c r="L220" s="9" t="str">
        <x:v>Cần giáo viên xác nhận</x:v>
      </x:c>
      <x:c r="M220" s="9" t="str"/>
    </x:row>
    <x:row r="221">
      <x:c r="A221" s="8" t="n">
        <x:v>220</x:v>
      </x:c>
      <x:c r="B221" s="9" t="str">
        <x:v>Theo lịch sử phát triển khái niệm gene, nhà khoa học nào đã đặt tên cho nhân tố quy định tính trạng là 'gene' và vào năm nào?</x:v>
      </x:c>
      <x:c r="C221" s="9" t="str">
        <x:v>Johansen, vào năm 1909</x:v>
      </x:c>
      <x:c r="D221" s="10" t="str">
        <x:v>SGK_KHTN_9_KNTT</x:v>
      </x:c>
      <x:c r="E221" s="8" t="n">
        <x:v>169</x:v>
      </x:c>
      <x:c r="F221" s="10" t="str">
        <x:v>sinh</x:v>
      </x:c>
      <x:c r="G221" s="10" t="str">
        <x:v>truc_tiep</x:v>
      </x:c>
      <x:c r="H221" s="10" t="str">
        <x:v>van_ban</x:v>
      </x:c>
      <x:c r="I221" s="10" t="str">
        <x:v>Nhận biết</x:v>
      </x:c>
      <x:c r="J221" s="10" t="str">
        <x:v>SGK_KHTN_9_KNTT_testset.csv</x:v>
      </x:c>
      <x:c r="K221" s="9" t="str">
        <x:v>Yêu cầu nhớ, nêu, kể tên, nhận diện hoặc lấy lại thông tin trực tiếp.</x:v>
      </x:c>
      <x:c r="L221" s="9" t="str">
        <x:v>Cần giáo viên xác nhận</x:v>
      </x:c>
      <x:c r="M221" s="9" t="str"/>
    </x:row>
    <x:row r="222">
      <x:c r="A222" s="8" t="n">
        <x:v>221</x:v>
      </x:c>
      <x:c r="B222" s="9" t="str">
        <x:v>Vì sao cần thận trọng khi sử dụng dòng điện xoay chiều ở gia đình và không được lại gần các trạm biến thế điện?</x:v>
      </x:c>
      <x:c r="C222" s="9" t="str">
        <x:v>Vì dòng điện xoay chiều đi qua cơ thể có tác dụng sinh lí: làm các cơ co giật, có thể làm tim ngừng đập, ngạt thở, thần kinh bị tê liệt, nên có thể gây nguy hiểm tới tính mạng con người.</x:v>
      </x:c>
      <x:c r="D222" s="10" t="str">
        <x:v>SGK_KHTN_9_KNTT</x:v>
      </x:c>
      <x:c r="E222" s="8" t="n">
        <x:v>74</x:v>
      </x:c>
      <x:c r="F222" s="10" t="str">
        <x:v>ly</x:v>
      </x:c>
      <x:c r="G222" s="10" t="str">
        <x:v>suy_luan</x:v>
      </x:c>
      <x:c r="H222" s="10" t="str">
        <x:v>van_ban</x:v>
      </x:c>
      <x:c r="I222" s="10" t="str">
        <x:v>Vận dụng</x:v>
      </x:c>
      <x:c r="J222" s="10" t="str">
        <x:v>SGK_KHTN_9_KNTT_testset.csv</x:v>
      </x:c>
      <x:c r="K222" s="9" t="str">
        <x:v>Yêu cầu áp dụng kiến thức, quy tắc hoặc phép tính vào tình huống/suy luận cụ thể.</x:v>
      </x:c>
      <x:c r="L222" s="9" t="str">
        <x:v>Cần giáo viên xác nhận</x:v>
      </x:c>
      <x:c r="M222" s="9" t="str"/>
    </x:row>
    <x:row r="223">
      <x:c r="A223" s="8" t="n">
        <x:v>222</x:v>
      </x:c>
      <x:c r="B223" s="9" t="str">
        <x:v>Ảnh không hứng được trên màn gọi là ảnh gì? Ảnh đó của vật qua thấu kính phân kì được tạo thành bởi cái gì?</x:v>
      </x:c>
      <x:c r="C223" s="9" t="str">
        <x:v>Gọi là ảnh ảo; ảnh ảo của vật qua thấu kính phân kì được tạo thành bởi các đường kéo dài của chùm tia ló qua thấu kính.</x:v>
      </x:c>
      <x:c r="D223" s="10" t="str">
        <x:v>SGK_KHTN_9_KNTT</x:v>
      </x:c>
      <x:c r="E223" s="8" t="n">
        <x:v>43</x:v>
      </x:c>
      <x:c r="F223" s="10" t="str">
        <x:v>ly</x:v>
      </x:c>
      <x:c r="G223" s="10" t="str">
        <x:v>truc_tiep</x:v>
      </x:c>
      <x:c r="H223" s="10" t="str">
        <x:v>van_ban</x:v>
      </x:c>
      <x:c r="I223" s="10" t="str">
        <x:v>Thông hiểu</x:v>
      </x:c>
      <x:c r="J223" s="10" t="str">
        <x:v>SGK_KHTN_9_KNTT_testset.csv</x:v>
      </x:c>
      <x:c r="K223" s="9" t="str">
        <x:v>Yêu cầu mô tả, giải thích, so sánh hoặc diễn giải ý nghĩa/mối quan hệ.</x:v>
      </x:c>
      <x:c r="L223" s="9" t="str">
        <x:v>Cần giáo viên xác nhận</x:v>
      </x:c>
      <x:c r="M223" s="9" t="str"/>
    </x:row>
    <x:row r="224">
      <x:c r="A224" s="8" t="n">
        <x:v>223</x:v>
      </x:c>
      <x:c r="B224" s="9" t="str">
        <x:v>Trong thí nghiệm phản ứng tráng bạc của glucose, ống nghiệm được đặt vào cốc đựng nước nóng ở nhiệt độ khoảng bao nhiêu?</x:v>
      </x:c>
      <x:c r="C224" s="9" t="str">
        <x:v>Khoảng 70 – 80 °C</x:v>
      </x:c>
      <x:c r="D224" s="10" t="str">
        <x:v>SGK_KHTN_9_KNTT</x:v>
      </x:c>
      <x:c r="E224" s="8" t="n">
        <x:v>132</x:v>
      </x:c>
      <x:c r="F224" s="10" t="str">
        <x:v>hoa</x:v>
      </x:c>
      <x:c r="G224" s="10" t="str">
        <x:v>truc_tiep</x:v>
      </x:c>
      <x:c r="H224" s="10" t="str">
        <x:v>van_ban</x:v>
      </x:c>
      <x:c r="I224" s="10" t="str">
        <x:v>Nhận biết</x:v>
      </x:c>
      <x:c r="J224" s="10" t="str">
        <x:v>SGK_KHTN_9_KNTT_testset.csv</x:v>
      </x:c>
      <x:c r="K224" s="9" t="str">
        <x:v>Yêu cầu nhớ, nêu, kể tên, nhận diện hoặc lấy lại thông tin trực tiếp.</x:v>
      </x:c>
      <x:c r="L224" s="9" t="str">
        <x:v>Cần giáo viên xác nhận</x:v>
      </x:c>
      <x:c r="M224" s="9" t="str"/>
    </x:row>
    <x:row r="225">
      <x:c r="A225" s="8" t="n">
        <x:v>224</x:v>
      </x:c>
      <x:c r="B225" s="9" t="str">
        <x:v>Hợp chất X là một hợp chất hữu cơ chỉ được tạo thành từ hai nguyên tố carbon và hydrogen (đều là nguyên tố phi kim). Dựa vào đặc điểm về thành phần nguyên tố của hợp chất hữu cơ, hãy cho biết liên kết hoá học chủ yếu trong hợp chất X thuộc loại gì và vì sao?</x:v>
      </x:c>
      <x:c r="C225" s="9" t="str">
        <x:v>Liên kết cộng hoá trị, vì các hợp chất hữu cơ được tạo thành chủ yếu từ các nguyên tố phi kim.</x:v>
      </x:c>
      <x:c r="D225" s="10" t="str">
        <x:v>SGK_KHTN_9_KNTT</x:v>
      </x:c>
      <x:c r="E225" s="8" t="n">
        <x:v>105</x:v>
      </x:c>
      <x:c r="F225" s="10" t="str">
        <x:v>hoa</x:v>
      </x:c>
      <x:c r="G225" s="10" t="str">
        <x:v>suy_luan</x:v>
      </x:c>
      <x:c r="H225" s="10" t="str">
        <x:v>van_ban</x:v>
      </x:c>
      <x:c r="I225" s="10" t="str">
        <x:v>Vận dụng</x:v>
      </x:c>
      <x:c r="J225" s="10" t="str">
        <x:v>SGK_KHTN_9_KNTT_testset.csv</x:v>
      </x:c>
      <x:c r="K225" s="9" t="str">
        <x:v>Yêu cầu áp dụng kiến thức, quy tắc hoặc phép tính vào tình huống/suy luận cụ thể.</x:v>
      </x:c>
      <x:c r="L225" s="9" t="str">
        <x:v>Cần giáo viên xác nhận</x:v>
      </x:c>
      <x:c r="M225" s="9" t="str"/>
    </x:row>
    <x:row r="226">
      <x:c r="A226" s="8" t="n">
        <x:v>225</x:v>
      </x:c>
      <x:c r="B226" s="9" t="str">
        <x:v>Thấu kính được định nghĩa là khối như thế nào?</x:v>
      </x:c>
      <x:c r="C226" s="9" t="str">
        <x:v>Thấu kính là một khối đồng chất trong suốt, giới hạn bởi hai mặt cong hoặc bởi một mặt cong và một mặt phẳng.</x:v>
      </x:c>
      <x:c r="D226" s="10" t="str">
        <x:v>SGK_KHTN_9_KNTT</x:v>
      </x:c>
      <x:c r="E226" s="8" t="n">
        <x:v>46</x:v>
      </x:c>
      <x:c r="F226" s="10" t="str">
        <x:v>ly</x:v>
      </x:c>
      <x:c r="G226" s="10" t="str">
        <x:v>truc_tiep</x:v>
      </x:c>
      <x:c r="H226" s="10" t="str">
        <x:v>van_ban</x:v>
      </x:c>
      <x:c r="I226" s="10" t="str">
        <x:v>Nhận biết</x:v>
      </x:c>
      <x:c r="J226" s="10" t="str">
        <x:v>SGK_KHTN_9_KNTT_testset.csv</x:v>
      </x:c>
      <x:c r="K226" s="9" t="str">
        <x:v>Yêu cầu nhớ, nêu, kể tên, nhận diện hoặc lấy lại thông tin trực tiếp.</x:v>
      </x:c>
      <x:c r="L226" s="9" t="str">
        <x:v>Cần giáo viên xác nhận</x:v>
      </x:c>
      <x:c r="M226" s="9" t="str"/>
    </x:row>
    <x:row r="227">
      <x:c r="A227" s="8" t="n">
        <x:v>226</x:v>
      </x:c>
      <x:c r="B227" s="9" t="str">
        <x:v>Dựa vào công thức cấu tạo của ethylene (chất có trong khí sinh ra từ một số loại quả chín) và định nghĩa alkane, hãy cho biết ethylene có phải là alkane không? Vì sao?</x:v>
      </x:c>
      <x:c r="C227" s="9" t="str">
        <x:v>Không. Vì phân tử ethylene chứa liên kết đôi giữa hai nguyên tử carbon, còn alkane là hydrocarbon mạch hở mà phân tử chỉ chứa các liên kết đơn.</x:v>
      </x:c>
      <x:c r="D227" s="10" t="str">
        <x:v>SGK_KHTN_9_KNTT</x:v>
      </x:c>
      <x:c r="E227" s="8" t="n">
        <x:v>107</x:v>
      </x:c>
      <x:c r="F227" s="10" t="str">
        <x:v>hoa</x:v>
      </x:c>
      <x:c r="G227" s="10" t="str">
        <x:v>suy_luan</x:v>
      </x:c>
      <x:c r="H227" s="10" t="str">
        <x:v>van_ban</x:v>
      </x:c>
      <x:c r="I227" s="10" t="str">
        <x:v>Vận dụng</x:v>
      </x:c>
      <x:c r="J227" s="10" t="str">
        <x:v>SGK_KHTN_9_KNTT_testset.csv</x:v>
      </x:c>
      <x:c r="K227" s="9" t="str">
        <x:v>Yêu cầu áp dụng kiến thức, quy tắc hoặc phép tính vào tình huống/suy luận cụ thể.</x:v>
      </x:c>
      <x:c r="L227" s="9" t="str">
        <x:v>Cần giáo viên xác nhận</x:v>
      </x:c>
      <x:c r="M227" s="9" t="str"/>
    </x:row>
    <x:row r="228">
      <x:c r="A228" s="8" t="n">
        <x:v>227</x:v>
      </x:c>
      <x:c r="B228" s="9" t="str">
        <x:v>Sử dụng hiệu quả năng lượng được định nghĩa là gì?</x:v>
      </x:c>
      <x:c r="C228" s="9" t="str">
        <x:v>Sử dụng hiệu quả năng lượng là việc dùng ít năng lượng hơn để thực hiện cùng một công việc hoặc cùng một chức năng của thiết bị, máy móc.</x:v>
      </x:c>
      <x:c r="D228" s="10" t="str">
        <x:v>SGK_KHTN_9_KNTT</x:v>
      </x:c>
      <x:c r="E228" s="8" t="n">
        <x:v>85</x:v>
      </x:c>
      <x:c r="F228" s="10" t="str">
        <x:v>ly</x:v>
      </x:c>
      <x:c r="G228" s="10" t="str">
        <x:v>truc_tiep</x:v>
      </x:c>
      <x:c r="H228" s="10" t="str">
        <x:v>van_ban</x:v>
      </x:c>
      <x:c r="I228" s="10" t="str">
        <x:v>Thông hiểu</x:v>
      </x:c>
      <x:c r="J228" s="10" t="str">
        <x:v>SGK_KHTN_9_KNTT_testset.csv</x:v>
      </x:c>
      <x:c r="K228" s="9" t="str">
        <x:v>Yêu cầu mô tả, giải thích, so sánh hoặc diễn giải ý nghĩa/mối quan hệ.</x:v>
      </x:c>
      <x:c r="L228" s="9" t="str">
        <x:v>Cần giáo viên xác nhận</x:v>
      </x:c>
      <x:c r="M228" s="9" t="str"/>
    </x:row>
    <x:row r="229">
      <x:c r="A229" s="8" t="n">
        <x:v>228</x:v>
      </x:c>
      <x:c r="B229" s="9" t="str">
        <x:v>Trong tế bào, phân tử RNA được tổng hợp ở đâu và hầu hết RNA thực hiện chức năng ở đâu?</x:v>
      </x:c>
      <x:c r="C229" s="9" t="str">
        <x:v>RNA được tổng hợp ở nhân hoặc vùng nhân, nhưng hầu hết RNA thực hiện chức năng ở tế bào chất.</x:v>
      </x:c>
      <x:c r="D229" s="10" t="str">
        <x:v>SGK_KHTN_9_KNTT</x:v>
      </x:c>
      <x:c r="E229" s="8" t="n">
        <x:v>168</x:v>
      </x:c>
      <x:c r="F229" s="10" t="str">
        <x:v>sinh</x:v>
      </x:c>
      <x:c r="G229" s="10" t="str">
        <x:v>truc_tiep</x:v>
      </x:c>
      <x:c r="H229" s="10" t="str">
        <x:v>van_ban</x:v>
      </x:c>
      <x:c r="I229" s="10" t="str">
        <x:v>Nhận biết</x:v>
      </x:c>
      <x:c r="J229" s="10" t="str">
        <x:v>SGK_KHTN_9_KNTT_testset.csv</x:v>
      </x:c>
      <x:c r="K229" s="9" t="str">
        <x:v>Yêu cầu nhớ, nêu, kể tên, nhận diện hoặc lấy lại thông tin trực tiếp.</x:v>
      </x:c>
      <x:c r="L229" s="9" t="str">
        <x:v>Cần giáo viên xác nhận</x:v>
      </x:c>
      <x:c r="M229" s="9" t="str"/>
    </x:row>
    <x:row r="230">
      <x:c r="A230" s="8" t="n">
        <x:v>229</x:v>
      </x:c>
      <x:c r="B230" s="9" t="str">
        <x:v>Trong ba loại RNA (mRNA, tRNA, rRNA), loại RNA nào có chức năng vận chuyển amino acid đến nơi tổng hợp protein?</x:v>
      </x:c>
      <x:c r="C230" s="9" t="str">
        <x:v>tRNA</x:v>
      </x:c>
      <x:c r="D230" s="10" t="str">
        <x:v>SGK_KHTN_9_KNTT</x:v>
      </x:c>
      <x:c r="E230" s="8" t="n">
        <x:v>169</x:v>
      </x:c>
      <x:c r="F230" s="10" t="str">
        <x:v>sinh</x:v>
      </x:c>
      <x:c r="G230" s="10" t="str">
        <x:v>truc_tiep</x:v>
      </x:c>
      <x:c r="H230" s="10" t="str">
        <x:v>van_ban</x:v>
      </x:c>
      <x:c r="I230" s="10" t="str">
        <x:v>Nhận biết</x:v>
      </x:c>
      <x:c r="J230" s="10" t="str">
        <x:v>SGK_KHTN_9_KNTT_testset.csv</x:v>
      </x:c>
      <x:c r="K230" s="9" t="str">
        <x:v>Yêu cầu nhớ, nêu, kể tên, nhận diện hoặc lấy lại thông tin trực tiếp.</x:v>
      </x:c>
      <x:c r="L230" s="9" t="str">
        <x:v>Cần giáo viên xác nhận</x:v>
      </x:c>
      <x:c r="M230" s="9" t="str"/>
    </x:row>
    <x:row r="231">
      <x:c r="A231" s="8" t="n">
        <x:v>230</x:v>
      </x:c>
      <x:c r="B231" s="9" t="str">
        <x:v>Khi phát hiện tim bệnh nhân đập nhanh, máy khử rung tim sẽ phát ra xung điện để làm gì?</x:v>
      </x:c>
      <x:c r="C231" s="9" t="str">
        <x:v>Máy sẽ phát ra xung điện để khử bớt nhịp đập của tim nhằm khôi phục lại nhịp đập bình thường.</x:v>
      </x:c>
      <x:c r="D231" s="10" t="str">
        <x:v>SGK_KHTN_9_KNTT</x:v>
      </x:c>
      <x:c r="E231" s="8" t="n">
        <x:v>74</x:v>
      </x:c>
      <x:c r="F231" s="10" t="str">
        <x:v>ly</x:v>
      </x:c>
      <x:c r="G231" s="10" t="str">
        <x:v>truc_tiep</x:v>
      </x:c>
      <x:c r="H231" s="10" t="str">
        <x:v>van_ban</x:v>
      </x:c>
      <x:c r="I231" s="10" t="str">
        <x:v>Thông hiểu</x:v>
      </x:c>
      <x:c r="J231" s="10" t="str">
        <x:v>SGK_KHTN_9_KNTT_testset.csv</x:v>
      </x:c>
      <x:c r="K231" s="9" t="str">
        <x:v>Yêu cầu mô tả, giải thích, so sánh hoặc diễn giải ý nghĩa/mối quan hệ.</x:v>
      </x:c>
      <x:c r="L231" s="9" t="str">
        <x:v>Cần giáo viên xác nhận</x:v>
      </x:c>
      <x:c r="M231" s="9" t="str"/>
    </x:row>
    <x:row r="232">
      <x:c r="A232" s="8" t="n">
        <x:v>231</x:v>
      </x:c>
      <x:c r="B232" s="9" t="str">
        <x:v>Khi dịch chuyển một thấu kính phân kì trong khoảng giữa vật và màn, ta có quan sát được vị trí nào của thấu kính cho ảnh của vật rõ nét trên màn không? Nếu đặt mắt nhìn qua thấu kính thì ta thấy ảnh của vật như thế nào?</x:v>
      </x:c>
      <x:c r="C232" s="9" t="str">
        <x:v>Không quan sát được vị trí nào của thấu kính cho ảnh rõ nét trên màn; nhưng khi đặt mắt nhìn qua thấu kính thì ta thấy ảnh của vật cùng chiều và nhỏ hơn vật.</x:v>
      </x:c>
      <x:c r="D232" s="10" t="str">
        <x:v>SGK_KHTN_9_KNTT</x:v>
      </x:c>
      <x:c r="E232" s="8" t="n">
        <x:v>43</x:v>
      </x:c>
      <x:c r="F232" s="10" t="str">
        <x:v>ly</x:v>
      </x:c>
      <x:c r="G232" s="10" t="str">
        <x:v>truc_tiep</x:v>
      </x:c>
      <x:c r="H232" s="10" t="str">
        <x:v>van_ban</x:v>
      </x:c>
      <x:c r="I232" s="10" t="str">
        <x:v>Thông hiểu</x:v>
      </x:c>
      <x:c r="J232" s="10" t="str">
        <x:v>SGK_KHTN_9_KNTT_testset.csv</x:v>
      </x:c>
      <x:c r="K232" s="9" t="str">
        <x:v>Yêu cầu mô tả, giải thích, so sánh hoặc diễn giải ý nghĩa/mối quan hệ.</x:v>
      </x:c>
      <x:c r="L232" s="9" t="str">
        <x:v>Cần giáo viên xác nhận</x:v>
      </x:c>
      <x:c r="M232" s="9" t="str"/>
    </x:row>
    <x:row r="233">
      <x:c r="A233" s="8" t="n">
        <x:v>232</x:v>
      </x:c>
      <x:c r="B233" s="9" t="str">
        <x:v>Công thức phân tử của glucose là gì?</x:v>
      </x:c>
      <x:c r="C233" s="9" t="str">
        <x:v>C6H12O6</x:v>
      </x:c>
      <x:c r="D233" s="10" t="str">
        <x:v>SGK_KHTN_9_KNTT</x:v>
      </x:c>
      <x:c r="E233" s="8" t="n">
        <x:v>132</x:v>
      </x:c>
      <x:c r="F233" s="10" t="str">
        <x:v>hoa</x:v>
      </x:c>
      <x:c r="G233" s="10" t="str">
        <x:v>truc_tiep</x:v>
      </x:c>
      <x:c r="H233" s="10" t="str">
        <x:v>van_ban</x:v>
      </x:c>
      <x:c r="I233" s="10" t="str">
        <x:v>Nhận biết</x:v>
      </x:c>
      <x:c r="J233" s="10" t="str">
        <x:v>SGK_KHTN_9_KNTT_testset.csv</x:v>
      </x:c>
      <x:c r="K233" s="9" t="str">
        <x:v>Yêu cầu nhớ, nêu, kể tên, nhận diện hoặc lấy lại thông tin trực tiếp.</x:v>
      </x:c>
      <x:c r="L233" s="9" t="str">
        <x:v>Cần giáo viên xác nhận</x:v>
      </x:c>
      <x:c r="M233" s="9" t="str"/>
    </x:row>
    <x:row r="234">
      <x:c r="A234" s="8" t="n">
        <x:v>233</x:v>
      </x:c>
      <x:c r="B234" s="9" t="str">
        <x:v>Hình 22.3 minh hoạ sự tạo mạch carbon gồm những loại mạch nào?</x:v>
      </x:c>
      <x:c r="C234" s="9" t="str">
        <x:v>Ba loại: a) mạch hở, không phân nhánh; b) mạch hở, phân nhánh; c) mạch vòng.</x:v>
      </x:c>
      <x:c r="D234" s="10" t="str">
        <x:v>SGK_KHTN_9_KNTT</x:v>
      </x:c>
      <x:c r="E234" s="8" t="n">
        <x:v>105</x:v>
      </x:c>
      <x:c r="F234" s="10" t="str">
        <x:v>hoa</x:v>
      </x:c>
      <x:c r="G234" s="10" t="str">
        <x:v>truc_tiep</x:v>
      </x:c>
      <x:c r="H234" s="10" t="str">
        <x:v>van_ban</x:v>
      </x:c>
      <x:c r="I234" s="10" t="str">
        <x:v>Nhận biết</x:v>
      </x:c>
      <x:c r="J234" s="10" t="str">
        <x:v>SGK_KHTN_9_KNTT_testset.csv</x:v>
      </x:c>
      <x:c r="K234" s="9" t="str">
        <x:v>Yêu cầu nhớ, nêu, kể tên, nhận diện hoặc lấy lại thông tin trực tiếp.</x:v>
      </x:c>
      <x:c r="L234" s="9" t="str">
        <x:v>Cần giáo viên xác nhận</x:v>
      </x:c>
      <x:c r="M234" s="9" t="str"/>
    </x:row>
    <x:row r="235">
      <x:c r="A235" s="8" t="n">
        <x:v>234</x:v>
      </x:c>
      <x:c r="B235" s="9" t="str">
        <x:v>Khi đặt vật trong khoảng tiêu cự của thấu kính hội tụ thì ảnh tạo ra là ảnh thật hay ảnh ảo? Ảnh đó có hứng được trên màn chắn không?</x:v>
      </x:c>
      <x:c r="C235" s="9" t="str">
        <x:v>Cho ảnh ảo (lớn hơn vật và cùng chiều với vật); vì ảnh ảo là ảnh không hứng được trên màn chắn nên không hứng được trên màn chắn.</x:v>
      </x:c>
      <x:c r="D235" s="10" t="str">
        <x:v>SGK_KHTN_9_KNTT</x:v>
      </x:c>
      <x:c r="E235" s="8" t="n">
        <x:v>46</x:v>
      </x:c>
      <x:c r="F235" s="10" t="str">
        <x:v>ly</x:v>
      </x:c>
      <x:c r="G235" s="10" t="str">
        <x:v>suy_luan</x:v>
      </x:c>
      <x:c r="H235" s="10" t="str">
        <x:v>van_ban</x:v>
      </x:c>
      <x:c r="I235" s="10" t="str">
        <x:v>Vận dụng</x:v>
      </x:c>
      <x:c r="J235" s="10" t="str">
        <x:v>SGK_KHTN_9_KNTT_testset.csv</x:v>
      </x:c>
      <x:c r="K235" s="9" t="str">
        <x:v>Yêu cầu áp dụng kiến thức, quy tắc hoặc phép tính vào tình huống/suy luận cụ thể.</x:v>
      </x:c>
      <x:c r="L235" s="9" t="str">
        <x:v>Cần giáo viên xác nhận</x:v>
      </x:c>
      <x:c r="M235" s="9" t="str"/>
    </x:row>
    <x:row r="236">
      <x:c r="A236" s="8" t="n">
        <x:v>235</x:v>
      </x:c>
      <x:c r="B236" s="9" t="str">
        <x:v>Quan sát Hình 1.12, hãy cho biết chủ đề của bài thuyết trình mẫu được minh hoạ bằng phần mềm trình chiếu là gì?</x:v>
      </x:c>
      <x:c r="C236" s="9" t="str">
        <x:v>Báo cáo kết quả khảo sát thực tế về một số bệnh đường tiêu hoá và vấn đề vệ sinh an toàn thực phẩm tại địa phương.</x:v>
      </x:c>
      <x:c r="D236" s="10" t="str">
        <x:v>SGK_KHTN_9_KNTT</x:v>
      </x:c>
      <x:c r="E236" s="8" t="n">
        <x:v>12</x:v>
      </x:c>
      <x:c r="F236" s="10" t="str"/>
      <x:c r="G236" s="10" t="str">
        <x:v>truc_tiep</x:v>
      </x:c>
      <x:c r="H236" s="10" t="str">
        <x:v>hinh</x:v>
      </x:c>
      <x:c r="I236" s="10" t="str">
        <x:v>Nhận biết</x:v>
      </x:c>
      <x:c r="J236" s="10" t="str">
        <x:v>SGK_KHTN_9_KNTT_testset.csv</x:v>
      </x:c>
      <x:c r="K236" s="9" t="str">
        <x:v>Yêu cầu nhớ, nêu, kể tên, nhận diện hoặc lấy lại thông tin trực tiếp.</x:v>
      </x:c>
      <x:c r="L236" s="9" t="str">
        <x:v>Cần giáo viên xác nhận</x:v>
      </x:c>
      <x:c r="M236" s="9" t="str"/>
    </x:row>
    <x:row r="237">
      <x:c r="A237" s="8" t="n">
        <x:v>236</x:v>
      </x:c>
      <x:c r="B237" s="9" t="str">
        <x:v>Quan sát Hình 1.3, hãy cho biết khe tạo ra vật sáng có hình dạng chữ cái gì và được đánh số thứ tự bao nhiêu trong bộ dụng cụ?</x:v>
      </x:c>
      <x:c r="C237" s="9" t="str">
        <x:v>Khe có hình chữ F và được đánh số thứ tự (5).</x:v>
      </x:c>
      <x:c r="D237" s="10" t="str">
        <x:v>SGK_KHTN_9_KNTT</x:v>
      </x:c>
      <x:c r="E237" s="8" t="n">
        <x:v>7</x:v>
      </x:c>
      <x:c r="F237" s="10" t="str"/>
      <x:c r="G237" s="10" t="str">
        <x:v>truc_tiep</x:v>
      </x:c>
      <x:c r="H237" s="10" t="str">
        <x:v>hinh</x:v>
      </x:c>
      <x:c r="I237" s="10" t="str">
        <x:v>Nhận biết</x:v>
      </x:c>
      <x:c r="J237" s="10" t="str">
        <x:v>SGK_KHTN_9_KNTT_testset.csv</x:v>
      </x:c>
      <x:c r="K237" s="9" t="str">
        <x:v>Yêu cầu nhớ, nêu, kể tên, nhận diện hoặc lấy lại thông tin trực tiếp.</x:v>
      </x:c>
      <x:c r="L237" s="9" t="str">
        <x:v>Cần giáo viên xác nhận</x:v>
      </x:c>
      <x:c r="M237" s="9" t="str"/>
    </x:row>
    <x:row r="238">
      <x:c r="A238" s="8" t="n">
        <x:v>237</x:v>
      </x:c>
      <x:c r="B238" s="9" t="str">
        <x:v>Quan sát Hình 1.1, hãy kể tên hai loại nguồn sáng được giới thiệu trong hình.</x:v>
      </x:c>
      <x:c r="C238" s="9" t="str">
        <x:v>Hai nguồn sáng trong Hình 1.1 là: a) đèn chiếu sáng 12V–21W (nối với nguồn điện); b) đèn laser.</x:v>
      </x:c>
      <x:c r="D238" s="10" t="str">
        <x:v>SGK_KHTN_9_KNTT</x:v>
      </x:c>
      <x:c r="E238" s="8" t="n">
        <x:v>6</x:v>
      </x:c>
      <x:c r="F238" s="10" t="str"/>
      <x:c r="G238" s="10" t="str">
        <x:v>truc_tiep</x:v>
      </x:c>
      <x:c r="H238" s="10" t="str">
        <x:v>hinh</x:v>
      </x:c>
      <x:c r="I238" s="10" t="str">
        <x:v>Nhận biết</x:v>
      </x:c>
      <x:c r="J238" s="10" t="str">
        <x:v>SGK_KHTN_9_KNTT_testset.csv</x:v>
      </x:c>
      <x:c r="K238" s="9" t="str">
        <x:v>Yêu cầu nhớ, nêu, kể tên, nhận diện hoặc lấy lại thông tin trực tiếp.</x:v>
      </x:c>
      <x:c r="L238" s="9" t="str">
        <x:v>Cần giáo viên xác nhận</x:v>
      </x:c>
      <x:c r="M238" s="9" t="str"/>
    </x:row>
    <x:row r="239">
      <x:c r="A239" s="8" t="n">
        <x:v>238</x:v>
      </x:c>
      <x:c r="B239" s="9" t="str">
        <x:v>Quan sát Hình 1.10, đây là dụng cụ gì và có công dụng gì trong phòng thí nghiệm?</x:v>
      </x:c>
      <x:c r="C239" s="9" t="str">
        <x:v>Hình 1.10 là lưới tản nhiệt (lưới thép), dùng để phân tán nhiệt đều khi đun/đốt bằng đèn cồn, tránh làm vỡ dụng cụ thuỷ tinh do nhiệt tập trung tại một điểm.</x:v>
      </x:c>
      <x:c r="D239" s="10" t="str">
        <x:v>SGK_KHTN_9_KNTT</x:v>
      </x:c>
      <x:c r="E239" s="8" t="n">
        <x:v>8</x:v>
      </x:c>
      <x:c r="F239" s="10" t="str"/>
      <x:c r="G239" s="10" t="str">
        <x:v>truc_tiep</x:v>
      </x:c>
      <x:c r="H239" s="10" t="str">
        <x:v>hinh</x:v>
      </x:c>
      <x:c r="I239" s="10" t="str">
        <x:v>Thông hiểu</x:v>
      </x:c>
      <x:c r="J239" s="10" t="str">
        <x:v>SGK_KHTN_9_KNTT_testset.csv</x:v>
      </x:c>
      <x:c r="K239" s="9" t="str">
        <x:v>Yêu cầu mô tả, giải thích, so sánh hoặc diễn giải ý nghĩa/mối quan hệ.</x:v>
      </x:c>
      <x:c r="L239" s="9" t="str">
        <x:v>Cần giáo viên xác nhận</x:v>
      </x:c>
      <x:c r="M239" s="9" t="str"/>
    </x:row>
    <x:row r="240">
      <x:c r="A240" s="8" t="n">
        <x:v>239</x:v>
      </x:c>
      <x:c r="B240" s="9" t="str">
        <x:v>Hệ CRISPR-Cas9 chỉnh sửa gene theo cơ chế nào và vai trò của RNA dẫn đường là gì?</x:v>
      </x:c>
      <x:c r="C240" s="9" t="str">
        <x:v>RNA dẫn đường nhận biết trình tự DNA đích bằng bắt cặp bổ sung và đưa enzyme Cas9 tới vị trí đó; Cas9 tạo đứt gãy DNA để tế bào sửa chữa, qua đó cho phép chỉnh sửa trình tự gene.</x:v>
      </x:c>
      <x:c r="D240" s="10" t="str">
        <x:v>NGOAI_PHAM_VI</x:v>
      </x:c>
      <x:c r="E240" s="8" t="str"/>
      <x:c r="F240" s="10" t="str">
        <x:v>Sinh học phân tử</x:v>
      </x:c>
      <x:c r="G240" s="10" t="str">
        <x:v>ngoai_pham_vi</x:v>
      </x:c>
      <x:c r="H240" s="10" t="str">
        <x:v>de_xuat_kiem_thu</x:v>
      </x:c>
      <x:c r="I240" s="10" t="str">
        <x:v>Ngoài phạm vi</x:v>
      </x:c>
      <x:c r="J240" s="10" t="str"/>
      <x:c r="K240" s="9" t="str">
        <x:v>Thông tin chuyên sâu không có trong phạm vi SGK KHTN 6-9 của kho tài liệu.</x:v>
      </x:c>
      <x:c r="L240" s="9" t="str">
        <x:v>Cần giáo viên xác nhận phạm vi</x:v>
      </x:c>
      <x:c r="M240" s="9" t="str">
        <x:v>Không có thông tin đủ để trả lời trong kho SGK KHTN 6-9 đang đánh giá.</x:v>
      </x:c>
    </x:row>
    <x:row r="241">
      <x:c r="A241" s="8" t="n">
        <x:v>240</x:v>
      </x:c>
      <x:c r="B241" s="9" t="str">
        <x:v>Trong xét nghiệm real-time PCR, giá trị Ct biểu thị điều gì và Ct thấp cho biết gì về lượng vật liệu di truyền ban đầu?</x:v>
      </x:c>
      <x:c r="C241" s="9" t="str">
        <x:v>Ct là số chu kì cần để tín hiệu huỳnh quang vượt ngưỡng phát hiện. Ct thấp thường cho thấy lượng acid nucleic đích ban đầu cao hơn.</x:v>
      </x:c>
      <x:c r="D241" s="10" t="str">
        <x:v>NGOAI_PHAM_VI</x:v>
      </x:c>
      <x:c r="E241" s="8" t="str"/>
      <x:c r="F241" s="10" t="str">
        <x:v>Sinh học phân tử</x:v>
      </x:c>
      <x:c r="G241" s="10" t="str">
        <x:v>ngoai_pham_vi</x:v>
      </x:c>
      <x:c r="H241" s="10" t="str">
        <x:v>de_xuat_kiem_thu</x:v>
      </x:c>
      <x:c r="I241" s="10" t="str">
        <x:v>Ngoài phạm vi</x:v>
      </x:c>
      <x:c r="J241" s="10" t="str"/>
      <x:c r="K241" s="9" t="str">
        <x:v>Thông tin chuyên sâu không có trong phạm vi SGK KHTN 6-9 của kho tài liệu.</x:v>
      </x:c>
      <x:c r="L241" s="9" t="str">
        <x:v>Cần giáo viên xác nhận phạm vi</x:v>
      </x:c>
      <x:c r="M241" s="9" t="str">
        <x:v>Không có thông tin đủ để trả lời trong kho SGK KHTN 6-9 đang đánh giá.</x:v>
      </x:c>
    </x:row>
    <x:row r="242">
      <x:c r="A242" s="8" t="n">
        <x:v>241</x:v>
      </x:c>
      <x:c r="B242" s="9" t="str">
        <x:v>Điều kiện cân bằng Hardy-Weinberg gồm những giả định cơ bản nào?</x:v>
      </x:c>
      <x:c r="C242" s="9" t="str">
        <x:v>Quần thể có kích thước rất lớn, giao phối ngẫu nhiên, không đột biến, không di nhập gene, không chọn lọc tự nhiên và không có các yếu tố làm biến đổi tần số allele.</x:v>
      </x:c>
      <x:c r="D242" s="10" t="str">
        <x:v>NGOAI_PHAM_VI</x:v>
      </x:c>
      <x:c r="E242" s="8" t="str"/>
      <x:c r="F242" s="10" t="str">
        <x:v>Di truyền học</x:v>
      </x:c>
      <x:c r="G242" s="10" t="str">
        <x:v>ngoai_pham_vi</x:v>
      </x:c>
      <x:c r="H242" s="10" t="str">
        <x:v>de_xuat_kiem_thu</x:v>
      </x:c>
      <x:c r="I242" s="10" t="str">
        <x:v>Ngoài phạm vi</x:v>
      </x:c>
      <x:c r="J242" s="10" t="str"/>
      <x:c r="K242" s="9" t="str">
        <x:v>Thông tin chuyên sâu không có trong phạm vi SGK KHTN 6-9 của kho tài liệu.</x:v>
      </x:c>
      <x:c r="L242" s="9" t="str">
        <x:v>Cần giáo viên xác nhận phạm vi</x:v>
      </x:c>
      <x:c r="M242" s="9" t="str">
        <x:v>Không có thông tin đủ để trả lời trong kho SGK KHTN 6-9 đang đánh giá.</x:v>
      </x:c>
    </x:row>
    <x:row r="243">
      <x:c r="A243" s="8" t="n">
        <x:v>242</x:v>
      </x:c>
      <x:c r="B243" s="9" t="str">
        <x:v>Operon lac ở vi khuẩn E. coli được điều hòa như thế nào khi môi trường có lactose nhưng thiếu glucose?</x:v>
      </x:c>
      <x:c r="C243" s="9" t="str">
        <x:v>Lactose làm bất hoạt protein ức chế, còn thiếu glucose làm tăng cAMP và hoạt hóa phức CAP-cAMP; vì vậy các gene của operon lac được phiên mã mạnh.</x:v>
      </x:c>
      <x:c r="D243" s="10" t="str">
        <x:v>NGOAI_PHAM_VI</x:v>
      </x:c>
      <x:c r="E243" s="8" t="str"/>
      <x:c r="F243" s="10" t="str">
        <x:v>Sinh học phân tử</x:v>
      </x:c>
      <x:c r="G243" s="10" t="str">
        <x:v>ngoai_pham_vi</x:v>
      </x:c>
      <x:c r="H243" s="10" t="str">
        <x:v>de_xuat_kiem_thu</x:v>
      </x:c>
      <x:c r="I243" s="10" t="str">
        <x:v>Ngoài phạm vi</x:v>
      </x:c>
      <x:c r="J243" s="10" t="str"/>
      <x:c r="K243" s="9" t="str">
        <x:v>Thông tin chuyên sâu không có trong phạm vi SGK KHTN 6-9 của kho tài liệu.</x:v>
      </x:c>
      <x:c r="L243" s="9" t="str">
        <x:v>Cần giáo viên xác nhận phạm vi</x:v>
      </x:c>
      <x:c r="M243" s="9" t="str">
        <x:v>Không có thông tin đủ để trả lời trong kho SGK KHTN 6-9 đang đánh giá.</x:v>
      </x:c>
    </x:row>
    <x:row r="244">
      <x:c r="A244" s="8" t="n">
        <x:v>243</x:v>
      </x:c>
      <x:c r="B244" s="9" t="str">
        <x:v>Methyl hóa DNA ở vùng promoter thường ảnh hưởng thế nào đến biểu hiện gene?</x:v>
      </x:c>
      <x:c r="C244" s="9" t="str">
        <x:v>Methyl hóa promoter thường làm giảm khả năng tiếp cận của bộ máy phiên mã và liên quan đến giảm hoặc ức chế biểu hiện gene.</x:v>
      </x:c>
      <x:c r="D244" s="10" t="str">
        <x:v>NGOAI_PHAM_VI</x:v>
      </x:c>
      <x:c r="E244" s="8" t="str"/>
      <x:c r="F244" s="10" t="str">
        <x:v>Biểu sinh</x:v>
      </x:c>
      <x:c r="G244" s="10" t="str">
        <x:v>ngoai_pham_vi</x:v>
      </x:c>
      <x:c r="H244" s="10" t="str">
        <x:v>de_xuat_kiem_thu</x:v>
      </x:c>
      <x:c r="I244" s="10" t="str">
        <x:v>Ngoài phạm vi</x:v>
      </x:c>
      <x:c r="J244" s="10" t="str"/>
      <x:c r="K244" s="9" t="str">
        <x:v>Thông tin chuyên sâu không có trong phạm vi SGK KHTN 6-9 của kho tài liệu.</x:v>
      </x:c>
      <x:c r="L244" s="9" t="str">
        <x:v>Cần giáo viên xác nhận phạm vi</x:v>
      </x:c>
      <x:c r="M244" s="9" t="str">
        <x:v>Không có thông tin đủ để trả lời trong kho SGK KHTN 6-9 đang đánh giá.</x:v>
      </x:c>
    </x:row>
    <x:row r="245">
      <x:c r="A245" s="8" t="n">
        <x:v>244</x:v>
      </x:c>
      <x:c r="B245" s="9" t="str">
        <x:v>Phân tích RNA-seq được sử dụng để đo đại lượng gì và đầu ra phổ biến của phép phân tích biểu hiện gene là gì?</x:v>
      </x:c>
      <x:c r="C245" s="9" t="str">
        <x:v>RNA-seq dùng để định lượng các transcript RNA. Đầu ra thường gồm số đọc hoặc mức biểu hiện đã chuẩn hóa của từng gene và danh sách gene biểu hiện khác biệt.</x:v>
      </x:c>
      <x:c r="D245" s="10" t="str">
        <x:v>NGOAI_PHAM_VI</x:v>
      </x:c>
      <x:c r="E245" s="8" t="str"/>
      <x:c r="F245" s="10" t="str">
        <x:v>Tin sinh học</x:v>
      </x:c>
      <x:c r="G245" s="10" t="str">
        <x:v>ngoai_pham_vi</x:v>
      </x:c>
      <x:c r="H245" s="10" t="str">
        <x:v>de_xuat_kiem_thu</x:v>
      </x:c>
      <x:c r="I245" s="10" t="str">
        <x:v>Ngoài phạm vi</x:v>
      </x:c>
      <x:c r="J245" s="10" t="str"/>
      <x:c r="K245" s="9" t="str">
        <x:v>Thông tin chuyên sâu không có trong phạm vi SGK KHTN 6-9 của kho tài liệu.</x:v>
      </x:c>
      <x:c r="L245" s="9" t="str">
        <x:v>Cần giáo viên xác nhận phạm vi</x:v>
      </x:c>
      <x:c r="M245" s="9" t="str">
        <x:v>Không có thông tin đủ để trả lời trong kho SGK KHTN 6-9 đang đánh giá.</x:v>
      </x:c>
    </x:row>
    <x:row r="246">
      <x:c r="A246" s="8" t="n">
        <x:v>245</x:v>
      </x:c>
      <x:c r="B246" s="9" t="str">
        <x:v>Metagenomics shotgun khác giải trình tự amplicon 16S rRNA ở điểm chính nào?</x:v>
      </x:c>
      <x:c r="C246" s="9" t="str">
        <x:v>Shotgun giải trình tự DNA của toàn bộ quần xã và có thể khảo sát cả thành phần lẫn chức năng gene; 16S tập trung vào một vùng marker của vi khuẩn và chủ yếu phục vụ phân loại.</x:v>
      </x:c>
      <x:c r="D246" s="10" t="str">
        <x:v>NGOAI_PHAM_VI</x:v>
      </x:c>
      <x:c r="E246" s="8" t="str"/>
      <x:c r="F246" s="10" t="str">
        <x:v>Vi sinh học</x:v>
      </x:c>
      <x:c r="G246" s="10" t="str">
        <x:v>ngoai_pham_vi</x:v>
      </x:c>
      <x:c r="H246" s="10" t="str">
        <x:v>de_xuat_kiem_thu</x:v>
      </x:c>
      <x:c r="I246" s="10" t="str">
        <x:v>Ngoài phạm vi</x:v>
      </x:c>
      <x:c r="J246" s="10" t="str"/>
      <x:c r="K246" s="9" t="str">
        <x:v>Thông tin chuyên sâu không có trong phạm vi SGK KHTN 6-9 của kho tài liệu.</x:v>
      </x:c>
      <x:c r="L246" s="9" t="str">
        <x:v>Cần giáo viên xác nhận phạm vi</x:v>
      </x:c>
      <x:c r="M246" s="9" t="str">
        <x:v>Không có thông tin đủ để trả lời trong kho SGK KHTN 6-9 đang đánh giá.</x:v>
      </x:c>
    </x:row>
    <x:row r="247">
      <x:c r="A247" s="8" t="n">
        <x:v>246</x:v>
      </x:c>
      <x:c r="B247" s="9" t="str">
        <x:v>Phương trình Michaelis-Menten mô tả mối quan hệ nào và hằng số Km có ý nghĩa gì?</x:v>
      </x:c>
      <x:c r="C247" s="9" t="str">
        <x:v>Phương trình mô tả quan hệ giữa tốc độ phản ứng enzyme và nồng độ cơ chất. Km là nồng độ cơ chất tại đó tốc độ phản ứng bằng một nửa Vmax trong mô hình lý tưởng.</x:v>
      </x:c>
      <x:c r="D247" s="10" t="str">
        <x:v>NGOAI_PHAM_VI</x:v>
      </x:c>
      <x:c r="E247" s="8" t="str"/>
      <x:c r="F247" s="10" t="str">
        <x:v>Hóa sinh</x:v>
      </x:c>
      <x:c r="G247" s="10" t="str">
        <x:v>ngoai_pham_vi</x:v>
      </x:c>
      <x:c r="H247" s="10" t="str">
        <x:v>de_xuat_kiem_thu</x:v>
      </x:c>
      <x:c r="I247" s="10" t="str">
        <x:v>Ngoài phạm vi</x:v>
      </x:c>
      <x:c r="J247" s="10" t="str"/>
      <x:c r="K247" s="9" t="str">
        <x:v>Thông tin chuyên sâu không có trong phạm vi SGK KHTN 6-9 của kho tài liệu.</x:v>
      </x:c>
      <x:c r="L247" s="9" t="str">
        <x:v>Cần giáo viên xác nhận phạm vi</x:v>
      </x:c>
      <x:c r="M247" s="9" t="str">
        <x:v>Không có thông tin đủ để trả lời trong kho SGK KHTN 6-9 đang đánh giá.</x:v>
      </x:c>
    </x:row>
    <x:row r="248">
      <x:c r="A248" s="8" t="n">
        <x:v>247</x:v>
      </x:c>
      <x:c r="B248" s="9" t="str">
        <x:v>Kháng thể đơn dòng được tạo ra để nhận biết đặc hiệu một epitope có đặc điểm gì?</x:v>
      </x:c>
      <x:c r="C248" s="9" t="str">
        <x:v>Các phân tử kháng thể đơn dòng có nguồn gốc từ một dòng tế bào và có cùng tính đặc hiệu đối với một epitope xác định.</x:v>
      </x:c>
      <x:c r="D248" s="10" t="str">
        <x:v>NGOAI_PHAM_VI</x:v>
      </x:c>
      <x:c r="E248" s="8" t="str"/>
      <x:c r="F248" s="10" t="str">
        <x:v>Miễn dịch học</x:v>
      </x:c>
      <x:c r="G248" s="10" t="str">
        <x:v>ngoai_pham_vi</x:v>
      </x:c>
      <x:c r="H248" s="10" t="str">
        <x:v>de_xuat_kiem_thu</x:v>
      </x:c>
      <x:c r="I248" s="10" t="str">
        <x:v>Ngoài phạm vi</x:v>
      </x:c>
      <x:c r="J248" s="10" t="str"/>
      <x:c r="K248" s="9" t="str">
        <x:v>Thông tin chuyên sâu không có trong phạm vi SGK KHTN 6-9 của kho tài liệu.</x:v>
      </x:c>
      <x:c r="L248" s="9" t="str">
        <x:v>Cần giáo viên xác nhận phạm vi</x:v>
      </x:c>
      <x:c r="M248" s="9" t="str">
        <x:v>Không có thông tin đủ để trả lời trong kho SGK KHTN 6-9 đang đánh giá.</x:v>
      </x:c>
    </x:row>
    <x:row r="249">
      <x:c r="A249" s="8" t="n">
        <x:v>248</x:v>
      </x:c>
      <x:c r="B249" s="9" t="str">
        <x:v>Autophagy khác apoptosis ở chức năng sinh học cơ bản như thế nào?</x:v>
      </x:c>
      <x:c r="C249" s="9" t="str">
        <x:v>Autophagy chủ yếu tái chế thành phần tế bào và hỗ trợ thích nghi với stress; apoptosis là chương trình chết tế bào có kiểm soát.</x:v>
      </x:c>
      <x:c r="D249" s="10" t="str">
        <x:v>NGOAI_PHAM_VI</x:v>
      </x:c>
      <x:c r="E249" s="8" t="str"/>
      <x:c r="F249" s="10" t="str">
        <x:v>Sinh học tế bào</x:v>
      </x:c>
      <x:c r="G249" s="10" t="str">
        <x:v>ngoai_pham_vi</x:v>
      </x:c>
      <x:c r="H249" s="10" t="str">
        <x:v>de_xuat_kiem_thu</x:v>
      </x:c>
      <x:c r="I249" s="10" t="str">
        <x:v>Ngoài phạm vi</x:v>
      </x:c>
      <x:c r="J249" s="10" t="str"/>
      <x:c r="K249" s="9" t="str">
        <x:v>Thông tin chuyên sâu không có trong phạm vi SGK KHTN 6-9 của kho tài liệu.</x:v>
      </x:c>
      <x:c r="L249" s="9" t="str">
        <x:v>Cần giáo viên xác nhận phạm vi</x:v>
      </x:c>
      <x:c r="M249" s="9" t="str">
        <x:v>Không có thông tin đủ để trả lời trong kho SGK KHTN 6-9 đang đánh giá.</x:v>
      </x:c>
    </x:row>
    <x:row r="250">
      <x:c r="A250" s="8" t="n">
        <x:v>249</x:v>
      </x:c>
      <x:c r="B250" s="9" t="str">
        <x:v>Theo thuyết tương đối hẹp, hệ số Lorentz phụ thuộc vào vận tốc theo biểu thức nào?</x:v>
      </x:c>
      <x:c r="C250" s="9" t="str">
        <x:v>Hệ số Lorentz là gamma = 1/sqrt(1-v^2/c^2), trong đó v là vận tốc tương đối và c là tốc độ ánh sáng trong chân không.</x:v>
      </x:c>
      <x:c r="D250" s="10" t="str">
        <x:v>NGOAI_PHAM_VI</x:v>
      </x:c>
      <x:c r="E250" s="8" t="str"/>
      <x:c r="F250" s="10" t="str">
        <x:v>Vật lí hiện đại</x:v>
      </x:c>
      <x:c r="G250" s="10" t="str">
        <x:v>ngoai_pham_vi</x:v>
      </x:c>
      <x:c r="H250" s="10" t="str">
        <x:v>de_xuat_kiem_thu</x:v>
      </x:c>
      <x:c r="I250" s="10" t="str">
        <x:v>Ngoài phạm vi</x:v>
      </x:c>
      <x:c r="J250" s="10" t="str"/>
      <x:c r="K250" s="9" t="str">
        <x:v>Thông tin chuyên sâu không có trong phạm vi SGK KHTN 6-9 của kho tài liệu.</x:v>
      </x:c>
      <x:c r="L250" s="9" t="str">
        <x:v>Cần giáo viên xác nhận phạm vi</x:v>
      </x:c>
      <x:c r="M250" s="9" t="str">
        <x:v>Không có thông tin đủ để trả lời trong kho SGK KHTN 6-9 đang đánh giá.</x:v>
      </x:c>
    </x:row>
    <x:row r="251">
      <x:c r="A251" s="8" t="n">
        <x:v>250</x:v>
      </x:c>
      <x:c r="B251" s="9" t="str">
        <x:v>Phương trình Schrödinger phụ thuộc thời gian mô tả sự tiến hóa của đại lượng nào?</x:v>
      </x:c>
      <x:c r="C251" s="9" t="str">
        <x:v>Phương trình mô tả sự tiến hóa theo thời gian của hàm sóng, từ đó xác định các xác suất quan sát của hệ lượng tử.</x:v>
      </x:c>
      <x:c r="D251" s="10" t="str">
        <x:v>NGOAI_PHAM_VI</x:v>
      </x:c>
      <x:c r="E251" s="8" t="str"/>
      <x:c r="F251" s="10" t="str">
        <x:v>Vật lí lượng tử</x:v>
      </x:c>
      <x:c r="G251" s="10" t="str">
        <x:v>ngoai_pham_vi</x:v>
      </x:c>
      <x:c r="H251" s="10" t="str">
        <x:v>de_xuat_kiem_thu</x:v>
      </x:c>
      <x:c r="I251" s="10" t="str">
        <x:v>Ngoài phạm vi</x:v>
      </x:c>
      <x:c r="J251" s="10" t="str"/>
      <x:c r="K251" s="9" t="str">
        <x:v>Thông tin chuyên sâu không có trong phạm vi SGK KHTN 6-9 của kho tài liệu.</x:v>
      </x:c>
      <x:c r="L251" s="9" t="str">
        <x:v>Cần giáo viên xác nhận phạm vi</x:v>
      </x:c>
      <x:c r="M251" s="9" t="str">
        <x:v>Không có thông tin đủ để trả lời trong kho SGK KHTN 6-9 đang đánh giá.</x:v>
      </x:c>
    </x:row>
    <x:row r="252">
      <x:c r="A252" s="8" t="n">
        <x:v>251</x:v>
      </x:c>
      <x:c r="B252" s="9" t="str">
        <x:v>Vùng cấm năng lượng trong chất bán dẫn có ý nghĩa gì đối với khả năng dẫn điện?</x:v>
      </x:c>
      <x:c r="C252" s="9" t="str">
        <x:v>Vùng cấm là khoảng năng lượng không có trạng thái electron cho phép giữa vùng hóa trị và vùng dẫn; độ rộng vùng cấm ảnh hưởng khả năng electron được kích thích lên vùng dẫn.</x:v>
      </x:c>
      <x:c r="D252" s="10" t="str">
        <x:v>NGOAI_PHAM_VI</x:v>
      </x:c>
      <x:c r="E252" s="8" t="str"/>
      <x:c r="F252" s="10" t="str">
        <x:v>Vật lí chất rắn</x:v>
      </x:c>
      <x:c r="G252" s="10" t="str">
        <x:v>ngoai_pham_vi</x:v>
      </x:c>
      <x:c r="H252" s="10" t="str">
        <x:v>de_xuat_kiem_thu</x:v>
      </x:c>
      <x:c r="I252" s="10" t="str">
        <x:v>Ngoài phạm vi</x:v>
      </x:c>
      <x:c r="J252" s="10" t="str"/>
      <x:c r="K252" s="9" t="str">
        <x:v>Thông tin chuyên sâu không có trong phạm vi SGK KHTN 6-9 của kho tài liệu.</x:v>
      </x:c>
      <x:c r="L252" s="9" t="str">
        <x:v>Cần giáo viên xác nhận phạm vi</x:v>
      </x:c>
      <x:c r="M252" s="9" t="str">
        <x:v>Không có thông tin đủ để trả lời trong kho SGK KHTN 6-9 đang đánh giá.</x:v>
      </x:c>
    </x:row>
    <x:row r="253">
      <x:c r="A253" s="8" t="n">
        <x:v>252</x:v>
      </x:c>
      <x:c r="B253" s="9" t="str">
        <x:v>Dòng điện dịch trong phương trình Maxwell được đưa vào để giải thích hiện tượng nào?</x:v>
      </x:c>
      <x:c r="C253" s="9" t="str">
        <x:v>Dòng điện dịch biểu diễn tác dụng của điện trường biến thiên và giúp định luật Ampere-Maxwell nhất quán, kể cả trong vùng giữa hai bản tụ điện.</x:v>
      </x:c>
      <x:c r="D253" s="10" t="str">
        <x:v>NGOAI_PHAM_VI</x:v>
      </x:c>
      <x:c r="E253" s="8" t="str"/>
      <x:c r="F253" s="10" t="str">
        <x:v>Điện từ học</x:v>
      </x:c>
      <x:c r="G253" s="10" t="str">
        <x:v>ngoai_pham_vi</x:v>
      </x:c>
      <x:c r="H253" s="10" t="str">
        <x:v>de_xuat_kiem_thu</x:v>
      </x:c>
      <x:c r="I253" s="10" t="str">
        <x:v>Ngoài phạm vi</x:v>
      </x:c>
      <x:c r="J253" s="10" t="str"/>
      <x:c r="K253" s="9" t="str">
        <x:v>Thông tin chuyên sâu không có trong phạm vi SGK KHTN 6-9 của kho tài liệu.</x:v>
      </x:c>
      <x:c r="L253" s="9" t="str">
        <x:v>Cần giáo viên xác nhận phạm vi</x:v>
      </x:c>
      <x:c r="M253" s="9" t="str">
        <x:v>Không có thông tin đủ để trả lời trong kho SGK KHTN 6-9 đang đánh giá.</x:v>
      </x:c>
    </x:row>
    <x:row r="254">
      <x:c r="A254" s="8" t="n">
        <x:v>253</x:v>
      </x:c>
      <x:c r="B254" s="9" t="str">
        <x:v>Điều kiện tự diễn biến của một quá trình ở nhiệt độ và áp suất không đổi được biểu diễn bằng biến thiên năng lượng tự do Gibbs như thế nào?</x:v>
      </x:c>
      <x:c r="C254" s="9" t="str">
        <x:v>Quá trình tự diễn biến theo chiều có Delta G &lt; 0; cân bằng khi Delta G = 0 trong điều kiện nhiệt độ và áp suất không đổi.</x:v>
      </x:c>
      <x:c r="D254" s="10" t="str">
        <x:v>NGOAI_PHAM_VI</x:v>
      </x:c>
      <x:c r="E254" s="8" t="str"/>
      <x:c r="F254" s="10" t="str">
        <x:v>Hóa lí</x:v>
      </x:c>
      <x:c r="G254" s="10" t="str">
        <x:v>ngoai_pham_vi</x:v>
      </x:c>
      <x:c r="H254" s="10" t="str">
        <x:v>de_xuat_kiem_thu</x:v>
      </x:c>
      <x:c r="I254" s="10" t="str">
        <x:v>Ngoài phạm vi</x:v>
      </x:c>
      <x:c r="J254" s="10" t="str"/>
      <x:c r="K254" s="9" t="str">
        <x:v>Thông tin chuyên sâu không có trong phạm vi SGK KHTN 6-9 của kho tài liệu.</x:v>
      </x:c>
      <x:c r="L254" s="9" t="str">
        <x:v>Cần giáo viên xác nhận phạm vi</x:v>
      </x:c>
      <x:c r="M254" s="9" t="str">
        <x:v>Không có thông tin đủ để trả lời trong kho SGK KHTN 6-9 đang đánh giá.</x:v>
      </x:c>
    </x:row>
    <x:row r="255">
      <x:c r="A255" s="8" t="n">
        <x:v>254</x:v>
      </x:c>
      <x:c r="B255" s="9" t="str">
        <x:v>Trong thuyết trường phối tử, sự tách mức năng lượng orbital d của phức chất bát diện diễn ra như thế nào?</x:v>
      </x:c>
      <x:c r="C255" s="9" t="str">
        <x:v>Năm orbital d tách thành nhóm t2g năng lượng thấp gồm ba orbital và nhóm eg năng lượng cao gồm hai orbital.</x:v>
      </x:c>
      <x:c r="D255" s="10" t="str">
        <x:v>NGOAI_PHAM_VI</x:v>
      </x:c>
      <x:c r="E255" s="8" t="str"/>
      <x:c r="F255" s="10" t="str">
        <x:v>Hóa học vô cơ</x:v>
      </x:c>
      <x:c r="G255" s="10" t="str">
        <x:v>ngoai_pham_vi</x:v>
      </x:c>
      <x:c r="H255" s="10" t="str">
        <x:v>de_xuat_kiem_thu</x:v>
      </x:c>
      <x:c r="I255" s="10" t="str">
        <x:v>Ngoài phạm vi</x:v>
      </x:c>
      <x:c r="J255" s="10" t="str"/>
      <x:c r="K255" s="9" t="str">
        <x:v>Thông tin chuyên sâu không có trong phạm vi SGK KHTN 6-9 của kho tài liệu.</x:v>
      </x:c>
      <x:c r="L255" s="9" t="str">
        <x:v>Cần giáo viên xác nhận phạm vi</x:v>
      </x:c>
      <x:c r="M255" s="9" t="str">
        <x:v>Không có thông tin đủ để trả lời trong kho SGK KHTN 6-9 đang đánh giá.</x:v>
      </x:c>
    </x:row>
    <x:row r="256">
      <x:c r="A256" s="8" t="n">
        <x:v>255</x:v>
      </x:c>
      <x:c r="B256" s="9" t="str">
        <x:v>Độ chuyển dịch hóa học trong phổ NMR phản ánh điều gì về môi trường của hạt nhân?</x:v>
      </x:c>
      <x:c r="C256" s="9" t="str">
        <x:v>Độ chuyển dịch hóa học phản ánh mức che chắn electron và môi trường hóa học cục bộ quanh hạt nhân được quan sát.</x:v>
      </x:c>
      <x:c r="D256" s="10" t="str">
        <x:v>NGOAI_PHAM_VI</x:v>
      </x:c>
      <x:c r="E256" s="8" t="str"/>
      <x:c r="F256" s="10" t="str">
        <x:v>Hóa phân tích</x:v>
      </x:c>
      <x:c r="G256" s="10" t="str">
        <x:v>ngoai_pham_vi</x:v>
      </x:c>
      <x:c r="H256" s="10" t="str">
        <x:v>de_xuat_kiem_thu</x:v>
      </x:c>
      <x:c r="I256" s="10" t="str">
        <x:v>Ngoài phạm vi</x:v>
      </x:c>
      <x:c r="J256" s="10" t="str"/>
      <x:c r="K256" s="9" t="str">
        <x:v>Thông tin chuyên sâu không có trong phạm vi SGK KHTN 6-9 của kho tài liệu.</x:v>
      </x:c>
      <x:c r="L256" s="9" t="str">
        <x:v>Cần giáo viên xác nhận phạm vi</x:v>
      </x:c>
      <x:c r="M256" s="9" t="str">
        <x:v>Không có thông tin đủ để trả lời trong kho SGK KHTN 6-9 đang đánh giá.</x:v>
      </x:c>
    </x:row>
    <x:row r="257">
      <x:c r="A257" s="8" t="n">
        <x:v>256</x:v>
      </x:c>
      <x:c r="B257" s="9" t="str">
        <x:v>Bằng chứng cổ từ học đã hỗ trợ thuyết kiến tạo mảng như thế nào?</x:v>
      </x:c>
      <x:c r="C257" s="9" t="str">
        <x:v>Các dải từ tính đối xứng và xen kẽ hai phía sống núi giữa đại dương ghi lại đảo cực từ, cung cấp bằng chứng cho sự tạo mới đáy đại dương và chuyển động mảng.</x:v>
      </x:c>
      <x:c r="D257" s="10" t="str">
        <x:v>NGOAI_PHAM_VI</x:v>
      </x:c>
      <x:c r="E257" s="8" t="str"/>
      <x:c r="F257" s="10" t="str">
        <x:v>Khoa học Trái Đất</x:v>
      </x:c>
      <x:c r="G257" s="10" t="str">
        <x:v>ngoai_pham_vi</x:v>
      </x:c>
      <x:c r="H257" s="10" t="str">
        <x:v>de_xuat_kiem_thu</x:v>
      </x:c>
      <x:c r="I257" s="10" t="str">
        <x:v>Ngoài phạm vi</x:v>
      </x:c>
      <x:c r="J257" s="10" t="str"/>
      <x:c r="K257" s="9" t="str">
        <x:v>Thông tin chuyên sâu không có trong phạm vi SGK KHTN 6-9 của kho tài liệu.</x:v>
      </x:c>
      <x:c r="L257" s="9" t="str">
        <x:v>Cần giáo viên xác nhận phạm vi</x:v>
      </x:c>
      <x:c r="M257" s="9" t="str">
        <x:v>Không có thông tin đủ để trả lời trong kho SGK KHTN 6-9 đang đánh giá.</x:v>
      </x:c>
    </x:row>
    <x:row r="258">
      <x:c r="A258" s="8" t="n">
        <x:v>257</x:v>
      </x:c>
      <x:c r="B258" s="9" t="str">
        <x:v>Phương pháp định tuổi uranium-chì dựa trên nguyên lí vật lí nào?</x:v>
      </x:c>
      <x:c r="C258" s="9" t="str">
        <x:v>Phương pháp dựa trên phân rã phóng xạ với chu kì bán rã xác định của các đồng vị uranium thành các đồng vị chì.</x:v>
      </x:c>
      <x:c r="D258" s="10" t="str">
        <x:v>NGOAI_PHAM_VI</x:v>
      </x:c>
      <x:c r="E258" s="8" t="str"/>
      <x:c r="F258" s="10" t="str">
        <x:v>Địa niên đại</x:v>
      </x:c>
      <x:c r="G258" s="10" t="str">
        <x:v>ngoai_pham_vi</x:v>
      </x:c>
      <x:c r="H258" s="10" t="str">
        <x:v>de_xuat_kiem_thu</x:v>
      </x:c>
      <x:c r="I258" s="10" t="str">
        <x:v>Ngoài phạm vi</x:v>
      </x:c>
      <x:c r="J258" s="10" t="str"/>
      <x:c r="K258" s="9" t="str">
        <x:v>Thông tin chuyên sâu không có trong phạm vi SGK KHTN 6-9 của kho tài liệu.</x:v>
      </x:c>
      <x:c r="L258" s="9" t="str">
        <x:v>Cần giáo viên xác nhận phạm vi</x:v>
      </x:c>
      <x:c r="M258" s="9" t="str">
        <x:v>Không có thông tin đủ để trả lời trong kho SGK KHTN 6-9 đang đánh giá.</x:v>
      </x:c>
    </x:row>
    <x:row r="259">
      <x:c r="A259" s="8" t="n">
        <x:v>258</x:v>
      </x:c>
      <x:c r="B259" s="9" t="str">
        <x:v>Kịch bản SSP trong nghiên cứu khí hậu được sử dụng để biểu diễn điều gì?</x:v>
      </x:c>
      <x:c r="C259" s="9" t="str">
        <x:v>SSP là các lộ trình kinh tế-xã hội dùng để xây dựng và so sánh những tương lai phát thải, thích ứng và tác động khí hậu khác nhau.</x:v>
      </x:c>
      <x:c r="D259" s="10" t="str">
        <x:v>NGOAI_PHAM_VI</x:v>
      </x:c>
      <x:c r="E259" s="8" t="str"/>
      <x:c r="F259" s="10" t="str">
        <x:v>Khoa học khí hậu</x:v>
      </x:c>
      <x:c r="G259" s="10" t="str">
        <x:v>ngoai_pham_vi</x:v>
      </x:c>
      <x:c r="H259" s="10" t="str">
        <x:v>de_xuat_kiem_thu</x:v>
      </x:c>
      <x:c r="I259" s="10" t="str">
        <x:v>Ngoài phạm vi</x:v>
      </x:c>
      <x:c r="J259" s="10" t="str"/>
      <x:c r="K259" s="9" t="str">
        <x:v>Thông tin chuyên sâu không có trong phạm vi SGK KHTN 6-9 của kho tài liệu.</x:v>
      </x:c>
      <x:c r="L259" s="9" t="str">
        <x:v>Cần giáo viên xác nhận phạm vi</x:v>
      </x:c>
      <x:c r="M259" s="9" t="str">
        <x:v>Không có thông tin đủ để trả lời trong kho SGK KHTN 6-9 đang đánh giá.</x:v>
      </x:c>
    </x:row>
  </x:sheetData>
  <x:conditionalFormatting sqref="I2:I259">
    <x:cfRule type="containsText" dxfId="0" priority="1" operator="containsText" text="Ngoài phạm vi"/>
  </x:conditionalFormatting>
  <x:conditionalFormatting sqref="L2:L259">
    <x:cfRule type="containsText" dxfId="1" priority="2" operator="containsText" text="Cần"/>
  </x:conditionalFormatting>
  <x:dataValidations count="1">
    <x:dataValidation type="list" sqref="I2:I259">
      <x:formula1>"Nhận biết,Thông hiểu,Vận dụng,Ngoài phạm vi"</x:formula1>
    </x:dataValidation>
  </x:dataValidations>
  <x:pageMargins left="0.7" right="0.7" top="0.75" bottom="0.75" header="0.3" footer="0.3"/>
  <x:tableParts count="1">
    <x:tablePart xmlns:r="http://schemas.openxmlformats.org/officeDocument/2006/relationships" r:id="R97bd41ffc7914c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16" hidden="0" customWidth="1"/>
    <x:col min="3" max="3" width="16" hidden="0" customWidth="1"/>
  </x:cols>
  <x:sheetData>
    <x:row r="1">
      <x:c r="A1" s="18" t="str">
        <x:v>BẢNG PHÂN LOẠI CÂU HỎI - DỰ THẢO</x:v>
      </x:c>
      <x:c r="B1" s="18"/>
      <x:c r="C1" s="18"/>
      <x:c r="D1" s="18"/>
    </x:row>
    <x:row r="3">
      <x:c r="A3" s="22" t="str">
        <x:v>Nhóm câu hỏi</x:v>
      </x:c>
      <x:c r="B3" s="23" t="str">
        <x:v>Số lượng</x:v>
      </x:c>
      <x:c r="C3" s="24" t="str">
        <x:v>Tỷ lệ</x:v>
      </x:c>
    </x:row>
    <x:row r="4">
      <x:c r="A4" s="25" t="str">
        <x:v>Nhận biết</x:v>
      </x:c>
      <x:c r="B4" s="31" t="n">
        <x:f>COUNTIF('Cau hoi'!$I$2:$I$259,A4)</x:f>
        <x:v>139</x:v>
      </x:c>
      <x:c r="C4" s="33" t="n">
        <x:f>B4/$B$8</x:f>
        <x:v>0.5387596899224806</x:v>
      </x:c>
    </x:row>
    <x:row r="5">
      <x:c r="A5" s="25" t="str">
        <x:v>Thông hiểu</x:v>
      </x:c>
      <x:c r="B5" s="31" t="n">
        <x:f>COUNTIF('Cau hoi'!$I$2:$I$259,A5)</x:f>
        <x:v>64</x:v>
      </x:c>
      <x:c r="C5" s="33" t="n">
        <x:f>B5/$B$8</x:f>
        <x:v>0.24806201550387597</x:v>
      </x:c>
    </x:row>
    <x:row r="6">
      <x:c r="A6" s="25" t="str">
        <x:v>Vận dụng</x:v>
      </x:c>
      <x:c r="B6" s="31" t="n">
        <x:f>COUNTIF('Cau hoi'!$I$2:$I$259,A6)</x:f>
        <x:v>35</x:v>
      </x:c>
      <x:c r="C6" s="33" t="n">
        <x:f>B6/$B$8</x:f>
        <x:v>0.13565891472868216</x:v>
      </x:c>
    </x:row>
    <x:row r="7">
      <x:c r="A7" s="25" t="str">
        <x:v>Ngoài phạm vi</x:v>
      </x:c>
      <x:c r="B7" s="31" t="n">
        <x:f>COUNTIF('Cau hoi'!$I$2:$I$259,A7)</x:f>
        <x:v>20</x:v>
      </x:c>
      <x:c r="C7" s="33" t="n">
        <x:f>B7/$B$8</x:f>
        <x:v>0.07751937984496124</x:v>
      </x:c>
    </x:row>
    <x:row r="8">
      <x:c r="A8" s="28" t="str">
        <x:v>Tổng cộng</x:v>
      </x:c>
      <x:c r="B8" s="32" t="n">
        <x:f>SUM(B4:B7)</x:f>
        <x:v>258</x:v>
      </x:c>
      <x:c r="C8" s="34" t="n">
        <x:f>SUM(C4:C7)</x:f>
        <x:v>1</x:v>
      </x:c>
    </x:row>
    <x:row r="10">
      <x:c r="A10" s="36" t="str">
        <x:v>Ghi chú</x:v>
      </x:c>
      <x:c r="B10" t="str"/>
      <x:c r="C10" t="str"/>
      <x:c r="D10" t="str"/>
    </x:row>
    <x:row r="11">
      <x:c r="A11" t="str">
        <x:v>n1</x:v>
      </x:c>
      <x:c r="B11" t="str">
        <x:v>Số câu Nhận biết</x:v>
      </x:c>
      <x:c r="C11" t="str"/>
      <x:c r="D11" t="str"/>
    </x:row>
    <x:row r="12">
      <x:c r="A12" t="str">
        <x:v>n2, n3, n4</x:v>
      </x:c>
      <x:c r="B12" t="str">
        <x:v>Lần lượt là Thông hiểu, Vận dụng, Ngoài phạm vi</x:v>
      </x:c>
      <x:c r="C12" t="str"/>
      <x:c r="D12" t="str"/>
    </x:row>
    <x:row r="13">
      <x:c r="A13" t="str">
        <x:v>N</x:v>
      </x:c>
      <x:c r="B13" t="str">
        <x:v>N = n1 + n2 + n3 + n4</x:v>
      </x:c>
      <x:c r="C13" t="str"/>
      <x:c r="D13" t="str"/>
    </x:row>
  </x:sheetData>
  <x:mergeCells>
    <x:mergeCell ref="A1:D1"/>
    <x:mergeCell ref="A10:D1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s>
  <x:sheetData>
    <x:row r="1">
      <x:c r="A1" s="18" t="str">
        <x:v>KIỂM TRA CHẤT LƯỢNG DỮ LIỆU</x:v>
      </x:c>
      <x:c r="B1" s="18"/>
      <x:c r="C1" s="18"/>
    </x:row>
    <x:row r="3">
      <x:c r="A3" s="22" t="str">
        <x:v>Chỉ số</x:v>
      </x:c>
      <x:c r="B3" s="24" t="str">
        <x:v>Kết quả</x:v>
      </x:c>
    </x:row>
    <x:row r="4">
      <x:c r="A4" s="25" t="str">
        <x:v>Tổng số câu</x:v>
      </x:c>
      <x:c r="B4" s="27" t="n">
        <x:f>COUNTA('Cau hoi'!$B$2:$B$259)</x:f>
        <x:v>258</x:v>
      </x:c>
    </x:row>
    <x:row r="5">
      <x:c r="A5" s="25" t="str">
        <x:v>Câu chưa phân loại</x:v>
      </x:c>
      <x:c r="B5" s="27" t="n">
        <x:f>COUNTBLANK('Cau hoi'!$I$2:$I$259)</x:f>
        <x:v>0</x:v>
      </x:c>
    </x:row>
    <x:row r="6">
      <x:c r="A6" s="25" t="str">
        <x:v>Câu ngoài phạm vi</x:v>
      </x:c>
      <x:c r="B6" s="27" t="n">
        <x:f>COUNTIF('Cau hoi'!$I$2:$I$259,"Ngoài phạm vi")</x:f>
        <x:v>20</x:v>
      </x:c>
    </x:row>
    <x:row r="7">
      <x:c r="A7" s="25" t="str">
        <x:v>Câu cần giáo viên xác nhận</x:v>
      </x:c>
      <x:c r="B7" s="27" t="n">
        <x:f>COUNTIF('Cau hoi'!$L$2:$L$259,"Cần giáo viên xác nhận")+COUNTIF('Cau hoi'!$L$2:$L$259,"Cần giáo viên xác nhận phạm vi")</x:f>
        <x:v>258</x:v>
      </x:c>
    </x:row>
    <x:row r="8">
      <x:c r="A8" s="25" t="str">
        <x:v>Số câu dữ liệu gốc</x:v>
      </x:c>
      <x:c r="B8" s="27" t="n">
        <x:v>238</x:v>
      </x:c>
    </x:row>
    <x:row r="9">
      <x:c r="A9" s="37" t="str">
        <x:v>Số câu bổ sung</x:v>
      </x:c>
      <x:c r="B9" s="38" t="n">
        <x:v>20</x:v>
      </x:c>
    </x:row>
    <x:row r="11">
      <x:c r="A11" s="16" t="str">
        <x:v>Điều kiện sử dụng</x:v>
      </x:c>
      <x:c r="B11" s="16" t="str">
        <x:v>Trạng thái</x:v>
      </x:c>
    </x:row>
    <x:row r="12">
      <x:c r="A12" s="6" t="str">
        <x:v>Không còn câu chưa phân loại</x:v>
      </x:c>
      <x:c r="B12" s="6" t="str">
        <x:v>Kiểm tra ô B5 = 0</x:v>
      </x:c>
    </x:row>
    <x:row r="13">
      <x:c r="A13" s="6" t="str">
        <x:v>Đủ câu ngoài phạm vi</x:v>
      </x:c>
      <x:c r="B13" s="6" t="str">
        <x:v>Kiểm tra ô B6 = 20</x:v>
      </x:c>
    </x:row>
    <x:row r="14">
      <x:c r="A14" s="6" t="str">
        <x:v>Xác nhận chuyên môn</x:v>
      </x:c>
      <x:c r="B14" s="6" t="str">
        <x:v>Giáo viên cần duyệt cột Trạng thái xác nhận trước khi coi là số liệu chính thức</x:v>
      </x:c>
    </x:row>
  </x:sheetData>
  <x:mergeCells>
    <x:mergeCell ref="A1:C1"/>
  </x:mergeCells>
  <x:pageMargins left="0.7" right="0.7" top="0.75" bottom="0.75" header="0.3" footer="0.3"/>
</x:worksheet>
</file>